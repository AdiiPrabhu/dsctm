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3fc881b3c0f24226" /></Relationships>
</file>

<file path=xl/workbook.xml><?xml version="1.0" encoding="utf-8"?>
<x:workbook xmlns:x="http://schemas.openxmlformats.org/spreadsheetml/2006/main">
  <x:sheets>
    <x:sheet xmlns:r="http://schemas.openxmlformats.org/officeDocument/2006/relationships" name="Lists" sheetId="1" r:id="R9837055f44bb45a4"/>
    <x:sheet xmlns:r="http://schemas.openxmlformats.org/officeDocument/2006/relationships" name="Master Tracker" sheetId="2" r:id="R06d9dbe355794ccc"/>
    <x:sheet xmlns:r="http://schemas.openxmlformats.org/officeDocument/2006/relationships" name="Dashboard" sheetId="3" r:id="R23d276f02cda4c53"/>
    <x:sheet xmlns:r="http://schemas.openxmlformats.org/officeDocument/2006/relationships" name="Decision Log" sheetId="4" r:id="Reb462f3ebb7b496f"/>
    <x:sheet xmlns:r="http://schemas.openxmlformats.org/officeDocument/2006/relationships" name="Reviewer Matrix" sheetId="5" r:id="R9b77c347524149ee"/>
    <x:sheet xmlns:r="http://schemas.openxmlformats.org/officeDocument/2006/relationships" name="Reference Audit" sheetId="6" r:id="R51ba4e6745174424"/>
    <x:sheet xmlns:r="http://schemas.openxmlformats.org/officeDocument/2006/relationships" name="Experiment Log" sheetId="7" r:id="R24c8a7b9729648b6"/>
    <x:sheet xmlns:r="http://schemas.openxmlformats.org/officeDocument/2006/relationships" name="Corrections &amp; Additions" sheetId="8" r:id="R6abb18c2701c4f3f"/>
    <x:sheet xmlns:r="http://schemas.openxmlformats.org/officeDocument/2006/relationships" name="Submission Checklist" sheetId="9" r:id="R925cd6e5cd634647"/>
  </x:sheets>
</x:workbook>
</file>

<file path=xl/comments1.xml><?xml version="1.0" encoding="utf-8"?>
<x:comments xmlns:x="http://schemas.openxmlformats.org/spreadsheetml/2006/main">
  <x:authors>
    <x:author>tc={A297B10B-2E36-0590-4078-0D0C399BA34D}</x:author>
    <x:author>tc={C6724FF4-38F0-9F12-D02C-6BE0682EF381}</x:author>
  </x:authors>
  <x:commentList>
    <x:comment ref="U4" authorId="0">
      <x:text>
        <x:r>
          <x:t>[Threaded comment]
Your version of Excel allows you to read this threaded comment; however, any edits to it will get removed if the file is opened in a newer version of Excel. Learn more: https://go.microsoft.com/fwlink/?linkid=870924
Comment:
    This column records the evidence-based proposed decision for each reviewer concern. A proposed decision is not a claim that an experiment or manuscript edit has already been completed.</x:t>
        </x:r>
      </x:text>
    </x:comment>
    <x:comment ref="Z4" authorId="1">
      <x:text>
        <x:r>
          <x:t>[Threaded comment]
Your version of Excel allows you to read this threaded comment; however, any edits to it will get removed if the file is opened in a newer version of Excel. Learn more: https://go.microsoft.com/fwlink/?linkid=870924
Comment:
    Use this field to distinguish resolved reasoning from pending code, data, author approval, experiment, formatting, or submission work.</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13">
    <x:font>
      <x:sz val="11"/>
      <x:name val="Carlito"/>
    </x:font>
    <x:font>
      <x:b/>
      <x:sz val="11"/>
      <x:color rgb="FFFFFFFF"/>
      <x:name val="Carlito"/>
    </x:font>
    <x:font>
      <x:b/>
      <x:sz val="18"/>
      <x:color rgb="FFFFFFFF"/>
      <x:name val="Carlito"/>
    </x:font>
    <x:font>
      <x:b/>
      <x:sz val="11"/>
      <x:color rgb="FF6D4C00"/>
      <x:name val="Carlito"/>
    </x:font>
    <x:font>
      <x:b/>
      <x:sz val="11"/>
      <x:color rgb="FF12243A"/>
      <x:name val="Carlito"/>
    </x:font>
    <x:font>
      <x:b/>
      <x:sz val="11"/>
      <x:name val="Carlito"/>
    </x:font>
    <x:font>
      <x:b/>
      <x:sz val="20"/>
      <x:color rgb="FFFFFFFF"/>
      <x:name val="Carlito"/>
    </x:font>
    <x:font>
      <x:i/>
      <x:sz val="11"/>
      <x:color rgb="FF1F4E78"/>
      <x:name val="Carlito"/>
    </x:font>
    <x:font>
      <x:b/>
      <x:sz val="18"/>
      <x:color rgb="FF12243A"/>
      <x:name val="Carlito"/>
    </x:font>
    <x:font>
      <x:b/>
      <x:sz val="14"/>
      <x:color rgb="FFFFFFFF"/>
      <x:name val="Carlito"/>
    </x:font>
    <x:font>
      <x:b/>
      <x:sz val="18"/>
      <x:color rgb="FF7A4F00"/>
      <x:name val="Carlito"/>
    </x:font>
    <x:font>
      <x:sz val="11"/>
      <x:color rgb="FF3F1D4D"/>
      <x:name val="Carlito"/>
    </x:font>
    <x:font>
      <x:sz val="11"/>
      <x:color rgb="FF1F2937"/>
      <x:name val="Carlito"/>
    </x:font>
  </x:fonts>
  <x:fills count="13">
    <x:fill>
      <x:patternFill patternType="none"/>
    </x:fill>
    <x:fill>
      <x:patternFill patternType="gray125"/>
    </x:fill>
    <x:fill>
      <x:patternFill patternType="solid">
        <x:fgColor rgb="FF12243A"/>
      </x:patternFill>
    </x:fill>
    <x:fill>
      <x:patternFill patternType="solid">
        <x:fgColor rgb="FFFFF8E1"/>
      </x:patternFill>
    </x:fill>
    <x:fill>
      <x:patternFill patternType="solid">
        <x:fgColor rgb="FF1F4E78"/>
      </x:patternFill>
    </x:fill>
    <x:fill>
      <x:patternFill patternType="solid">
        <x:fgColor rgb="FFEAF2F8"/>
      </x:patternFill>
    </x:fill>
    <x:fill>
      <x:patternFill patternType="solid">
        <x:fgColor rgb="FFF3F5F7"/>
      </x:patternFill>
    </x:fill>
    <x:fill>
      <x:patternFill patternType="solid">
        <x:fgColor rgb="FF0F766E"/>
      </x:patternFill>
    </x:fill>
    <x:fill>
      <x:patternFill patternType="solid">
        <x:fgColor rgb="FF6A1B9A"/>
      </x:patternFill>
    </x:fill>
    <x:fill>
      <x:patternFill patternType="solid">
        <x:fgColor rgb="FFF7F1FA"/>
      </x:patternFill>
    </x:fill>
    <x:fill>
      <x:patternFill patternType="solid">
        <x:fgColor rgb="FF12243A"/>
      </x:patternFill>
    </x:fill>
    <x:fill>
      <x:patternFill patternType="solid">
        <x:fgColor rgb="FFE7F4FA"/>
      </x:patternFill>
    </x:fill>
    <x:fill>
      <x:patternFill patternType="solid">
        <x:fgColor rgb="FFFFFFFF"/>
      </x:patternFill>
    </x:fill>
  </x:fills>
  <x:borders count="12">
    <x:border/>
    <x:border/>
    <x:border>
      <x:left style="thin">
        <x:color rgb="FF8FA9B8"/>
      </x:left>
      <x:right style="thin">
        <x:color rgb="FF8FA9B8"/>
      </x:right>
      <x:top style="thin">
        <x:color rgb="FF8FA9B8"/>
      </x:top>
      <x:bottom style="thin">
        <x:color rgb="FF8FA9B8"/>
      </x:bottom>
    </x:border>
    <x:border>
      <x:left style="thin">
        <x:color rgb="FF8FA9B8"/>
      </x:left>
      <x:right style="thin">
        <x:color rgb="FFD9E7EE"/>
      </x:right>
      <x:bottom style="thin">
        <x:color rgb="FFC9DCE6"/>
      </x:bottom>
    </x:border>
    <x:border>
      <x:left style="thin">
        <x:color rgb="FFD9E7EE"/>
      </x:left>
      <x:right style="thin">
        <x:color rgb="FFD9E7EE"/>
      </x:right>
      <x:bottom style="thin">
        <x:color rgb="FFC9DCE6"/>
      </x:bottom>
    </x:border>
    <x:border>
      <x:left style="thin">
        <x:color rgb="FFD9E7EE"/>
      </x:left>
      <x:right style="thin">
        <x:color rgb="FF8FA9B8"/>
      </x:right>
      <x:bottom style="thin">
        <x:color rgb="FFC9DCE6"/>
      </x:bottom>
    </x:border>
    <x:border>
      <x:left style="thin">
        <x:color rgb="FF8FA9B8"/>
      </x:left>
      <x:right style="thin">
        <x:color rgb="FFD9E7EE"/>
      </x:right>
      <x:top style="thin">
        <x:color rgb="FFC9DCE6"/>
      </x:top>
      <x:bottom style="thin">
        <x:color rgb="FFC9DCE6"/>
      </x:bottom>
    </x:border>
    <x:border>
      <x:left style="thin">
        <x:color rgb="FFD9E7EE"/>
      </x:left>
      <x:right style="thin">
        <x:color rgb="FFD9E7EE"/>
      </x:right>
      <x:top style="thin">
        <x:color rgb="FFC9DCE6"/>
      </x:top>
      <x:bottom style="thin">
        <x:color rgb="FFC9DCE6"/>
      </x:bottom>
    </x:border>
    <x:border>
      <x:left style="thin">
        <x:color rgb="FFD9E7EE"/>
      </x:left>
      <x:right style="thin">
        <x:color rgb="FF8FA9B8"/>
      </x:right>
      <x:top style="thin">
        <x:color rgb="FFC9DCE6"/>
      </x:top>
      <x:bottom style="thin">
        <x:color rgb="FFC9DCE6"/>
      </x:bottom>
    </x:border>
    <x:border>
      <x:left style="thin">
        <x:color rgb="FF8FA9B8"/>
      </x:left>
      <x:right style="thin">
        <x:color rgb="FFD9E7EE"/>
      </x:right>
      <x:top style="thin">
        <x:color rgb="FFC9DCE6"/>
      </x:top>
    </x:border>
    <x:border>
      <x:left style="thin">
        <x:color rgb="FFD9E7EE"/>
      </x:left>
      <x:right style="thin">
        <x:color rgb="FFD9E7EE"/>
      </x:right>
      <x:top style="thin">
        <x:color rgb="FFC9DCE6"/>
      </x:top>
    </x:border>
    <x:border>
      <x:left style="thin">
        <x:color rgb="FFD9E7EE"/>
      </x:left>
      <x:right style="thin">
        <x:color rgb="FF8FA9B8"/>
      </x:right>
      <x:top style="thin">
        <x:color rgb="FFC9DCE6"/>
      </x:top>
    </x:border>
  </x:borders>
  <x:cellStyleXfs count="1">
    <x:xf numFmtId="0" fontId="0" fillId="0" borderId="0"/>
  </x:cellStyleXfs>
  <x:cellXfs count="15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0"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left" wrapText="1"/>
    </x:xf>
    <x:xf numFmtId="0" fontId="3" fillId="3" borderId="0" xfId="0" applyNumberFormat="1" applyFont="1" applyFill="1" applyBorder="1" applyAlignment="1">
      <x:alignment horizontal="left"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left" wrapText="1"/>
    </x:xf>
    <x:xf numFmtId="0" fontId="3" fillId="3" borderId="1" xfId="0" applyNumberFormat="1" applyFont="1" applyFill="1" applyBorder="1" applyAlignment="1">
      <x:alignment horizontal="left" vertic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6" fillId="2" borderId="0" xfId="0" applyNumberFormat="1" applyFont="1" applyFill="1" applyBorder="1"/>
    <x:xf numFmtId="0" fontId="6" fillId="2" borderId="0" xfId="0" applyNumberFormat="1" applyFont="1" applyFill="1" applyBorder="1" applyAlignment="1">
      <x:alignment horizontal="center"/>
    </x:xf>
    <x:xf numFmtId="0" fontId="6" fillId="2" borderId="0" xfId="0" applyNumberFormat="1" applyFont="1" applyFill="1" applyBorder="1" applyAlignment="1">
      <x:alignment horizontal="center" vertical="center"/>
    </x:xf>
    <x:xf numFmtId="0" fontId="6" fillId="2" borderId="1" xfId="0" applyNumberFormat="1" applyFont="1" applyFill="1" applyBorder="1"/>
    <x:xf numFmtId="0" fontId="6" fillId="2" borderId="1" xfId="0" applyNumberFormat="1" applyFont="1" applyFill="1" applyBorder="1" applyAlignment="1">
      <x:alignment horizontal="center"/>
    </x:xf>
    <x:xf numFmtId="0" fontId="6" fillId="2" borderId="1" xfId="0" applyNumberFormat="1" applyFont="1" applyFill="1" applyBorder="1" applyAlignment="1">
      <x:alignment horizontal="center" vertical="center"/>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horizontal="center"/>
    </x:xf>
    <x:xf numFmtId="0" fontId="0" fillId="5" borderId="1" xfId="0" applyNumberFormat="1" applyFont="1" applyFill="1" applyBorder="1"/>
    <x:xf numFmtId="0" fontId="7" fillId="5" borderId="1" xfId="0" applyNumberFormat="1" applyFont="1" applyFill="1" applyBorder="1"/>
    <x:xf numFmtId="0" fontId="7" fillId="5" borderId="1" xfId="0" applyNumberFormat="1" applyFont="1" applyFill="1" applyBorder="1" applyAlignment="1">
      <x:alignment horizontal="center"/>
    </x:xf>
    <x:xf numFmtId="0" fontId="1" fillId="4" borderId="0" xfId="0" applyNumberFormat="1" applyFont="1" applyFill="1" applyBorder="1" applyAlignment="1">
      <x:alignment horizontal="center"/>
    </x:xf>
    <x:xf numFmtId="0" fontId="1" fillId="4" borderId="1" xfId="0" applyNumberFormat="1" applyFont="1" applyFill="1" applyBorder="1" applyAlignment="1">
      <x:alignment horizontal="center"/>
    </x:xf>
    <x:xf numFmtId="0" fontId="0" fillId="6" borderId="0" xfId="0" applyNumberFormat="1" applyFont="1" applyFill="1" applyBorder="1"/>
    <x:xf numFmtId="0" fontId="8" fillId="6" borderId="0" xfId="0" applyNumberFormat="1" applyFont="1" applyFill="1" applyBorder="1"/>
    <x:xf numFmtId="0" fontId="8" fillId="6" borderId="0" xfId="0" applyNumberFormat="1" applyFont="1" applyFill="1" applyBorder="1" applyAlignment="1">
      <x:alignment horizontal="center"/>
    </x:xf>
    <x:xf numFmtId="0" fontId="0" fillId="6" borderId="1" xfId="0" applyNumberFormat="1" applyFont="1" applyFill="1" applyBorder="1"/>
    <x:xf numFmtId="0" fontId="8" fillId="6" borderId="1" xfId="0" applyNumberFormat="1" applyFont="1" applyFill="1" applyBorder="1"/>
    <x:xf numFmtId="0" fontId="8" fillId="6" borderId="1" xfId="0" applyNumberFormat="1" applyFont="1" applyFill="1" applyBorder="1" applyAlignment="1">
      <x:alignment horizontal="center"/>
    </x:xf>
    <x:xf numFmtId="200" fontId="8" fillId="6" borderId="0" xfId="0" applyNumberFormat="1" applyFont="1" applyFill="1" applyBorder="1" applyAlignment="1">
      <x:alignment horizontal="center"/>
    </x:xf>
    <x:xf numFmtId="200" fontId="8" fillId="6" borderId="1" xfId="0" applyNumberFormat="1" applyFont="1" applyFill="1" applyBorder="1" applyAlignment="1">
      <x:alignment horizontal="center"/>
    </x:xf>
    <x:xf numFmtId="0" fontId="0" fillId="7" borderId="0" xfId="0" applyNumberFormat="1" applyFont="1" applyFill="1" applyBorder="1"/>
    <x:xf numFmtId="0" fontId="9" fillId="7" borderId="0" xfId="0" applyNumberFormat="1" applyFont="1" applyFill="1" applyBorder="1"/>
    <x:xf numFmtId="0" fontId="9" fillId="7" borderId="0" xfId="0" applyNumberFormat="1" applyFont="1" applyFill="1" applyBorder="1" applyAlignment="1">
      <x:alignment horizontal="center"/>
    </x:xf>
    <x:xf numFmtId="0" fontId="0" fillId="7" borderId="1" xfId="0" applyNumberFormat="1" applyFont="1" applyFill="1" applyBorder="1"/>
    <x:xf numFmtId="0" fontId="9" fillId="7" borderId="1" xfId="0" applyNumberFormat="1" applyFont="1" applyFill="1" applyBorder="1"/>
    <x:xf numFmtId="0" fontId="9" fillId="7" borderId="1" xfId="0" applyNumberFormat="1" applyFont="1" applyFill="1" applyBorder="1" applyAlignment="1">
      <x:alignment horizontal="center"/>
    </x:xf>
    <x:xf numFmtId="0" fontId="10" fillId="3" borderId="0" xfId="0" applyNumberFormat="1" applyFont="1" applyFill="1" applyBorder="1"/>
    <x:xf numFmtId="0" fontId="10" fillId="3" borderId="0" xfId="0" applyNumberFormat="1" applyFont="1" applyFill="1" applyBorder="1" applyAlignment="1">
      <x:alignment horizontal="center"/>
    </x:xf>
    <x:xf numFmtId="0" fontId="10" fillId="3" borderId="0" xfId="0" applyNumberFormat="1" applyFont="1" applyFill="1" applyBorder="1" applyAlignment="1">
      <x:alignment horizontal="center" vertical="center"/>
    </x:xf>
    <x:xf numFmtId="0" fontId="10" fillId="3" borderId="1" xfId="0" applyNumberFormat="1" applyFont="1" applyFill="1" applyBorder="1"/>
    <x:xf numFmtId="0" fontId="10" fillId="3" borderId="1" xfId="0" applyNumberFormat="1" applyFont="1" applyFill="1" applyBorder="1" applyAlignment="1">
      <x:alignment horizontal="center"/>
    </x:xf>
    <x:xf numFmtId="0" fontId="10" fillId="3" borderId="1" xfId="0" applyNumberFormat="1" applyFont="1" applyFill="1" applyBorder="1" applyAlignment="1">
      <x:alignment horizontal="center" vertical="center"/>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horizontal="center"/>
    </x:xf>
    <x:xf numFmtId="0" fontId="0" fillId="8" borderId="1" xfId="0" applyNumberFormat="1" applyFont="1" applyFill="1" applyBorder="1"/>
    <x:xf numFmtId="0" fontId="1" fillId="8" borderId="1" xfId="0" applyNumberFormat="1" applyFont="1" applyFill="1" applyBorder="1"/>
    <x:xf numFmtId="0" fontId="1" fillId="8" borderId="1" xfId="0" applyNumberFormat="1" applyFont="1" applyFill="1" applyBorder="1" applyAlignment="1">
      <x:alignment horizontal="center"/>
    </x:xf>
    <x:xf numFmtId="0" fontId="0" fillId="9" borderId="0" xfId="0" applyNumberFormat="1" applyFont="1" applyFill="1" applyBorder="1"/>
    <x:xf numFmtId="0" fontId="11" fillId="9" borderId="0" xfId="0" applyNumberFormat="1" applyFont="1" applyFill="1" applyBorder="1"/>
    <x:xf numFmtId="0" fontId="11" fillId="9" borderId="0" xfId="0" applyNumberFormat="1" applyFont="1" applyFill="1" applyBorder="1" applyAlignment="1">
      <x:alignment wrapText="1"/>
    </x:xf>
    <x:xf numFmtId="0" fontId="11" fillId="9" borderId="0" xfId="0" applyNumberFormat="1" applyFont="1" applyFill="1" applyBorder="1" applyAlignment="1">
      <x:alignment vertical="top" wrapText="1"/>
    </x:xf>
    <x:xf numFmtId="0" fontId="0" fillId="9" borderId="1" xfId="0" applyNumberFormat="1" applyFont="1" applyFill="1" applyBorder="1"/>
    <x:xf numFmtId="0" fontId="11" fillId="9" borderId="1" xfId="0" applyNumberFormat="1" applyFont="1" applyFill="1" applyBorder="1"/>
    <x:xf numFmtId="0" fontId="11" fillId="9" borderId="1" xfId="0" applyNumberFormat="1" applyFont="1" applyFill="1" applyBorder="1" applyAlignment="1">
      <x:alignment wrapText="1"/>
    </x:xf>
    <x:xf numFmtId="0" fontId="11" fillId="9" borderId="1" xfId="0" applyNumberFormat="1" applyFont="1" applyFill="1" applyBorder="1" applyAlignment="1">
      <x:alignment vertical="top"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0" fillId="10" borderId="0" xfId="0" applyNumberFormat="1" applyFont="1" applyFill="1" applyBorder="1"/>
    <x:xf numFmtId="0" fontId="1" fillId="10" borderId="0" xfId="0" applyNumberFormat="1" applyFont="1" applyFill="1" applyBorder="1"/>
    <x:xf numFmtId="0" fontId="1" fillId="10" borderId="2" xfId="0" applyNumberFormat="1" applyFont="1" applyFill="1" applyBorder="1"/>
    <x:xf numFmtId="0" fontId="1" fillId="10" borderId="2" xfId="0" applyNumberFormat="1" applyFont="1" applyFill="1" applyBorder="1" applyAlignment="1">
      <x:alignment wrapText="1"/>
    </x:xf>
    <x:xf numFmtId="0" fontId="1" fillId="10" borderId="2" xfId="0" applyNumberFormat="1" applyFont="1" applyFill="1" applyBorder="1" applyAlignment="1">
      <x:alignment horizontal="center" wrapText="1"/>
    </x:xf>
    <x:xf numFmtId="0" fontId="1" fillId="10" borderId="2" xfId="0" applyNumberFormat="1" applyFont="1" applyFill="1" applyBorder="1" applyAlignment="1">
      <x:alignment horizontal="center" vertical="center" wrapText="1"/>
    </x:xf>
    <x:xf numFmtId="0" fontId="12" fillId="0" borderId="0" xfId="0" applyNumberFormat="1" applyFont="1" applyFill="1" applyBorder="1"/>
    <x:xf numFmtId="0" fontId="12" fillId="0" borderId="3" xfId="0" applyNumberFormat="1" applyFont="1" applyFill="1" applyBorder="1"/>
    <x:xf numFmtId="0" fontId="12" fillId="0" borderId="4" xfId="0" applyNumberFormat="1" applyFont="1" applyFill="1" applyBorder="1"/>
    <x:xf numFmtId="0" fontId="12" fillId="0" borderId="5" xfId="0" applyNumberFormat="1" applyFont="1" applyFill="1" applyBorder="1"/>
    <x:xf numFmtId="0" fontId="12" fillId="0" borderId="6" xfId="0" applyNumberFormat="1" applyFont="1" applyFill="1" applyBorder="1"/>
    <x:xf numFmtId="0" fontId="12" fillId="0" borderId="7" xfId="0" applyNumberFormat="1" applyFont="1" applyFill="1" applyBorder="1"/>
    <x:xf numFmtId="0" fontId="12" fillId="0" borderId="8" xfId="0" applyNumberFormat="1" applyFont="1" applyFill="1" applyBorder="1"/>
    <x:xf numFmtId="0" fontId="12" fillId="0" borderId="9" xfId="0" applyNumberFormat="1" applyFont="1" applyFill="1" applyBorder="1"/>
    <x:xf numFmtId="0" fontId="12" fillId="0" borderId="10" xfId="0" applyNumberFormat="1" applyFont="1" applyFill="1" applyBorder="1"/>
    <x:xf numFmtId="0" fontId="12" fillId="0" borderId="11" xfId="0" applyNumberFormat="1" applyFont="1" applyFill="1" applyBorder="1"/>
    <x:xf numFmtId="0" fontId="12" fillId="0" borderId="3" xfId="0" applyNumberFormat="1" applyFont="1" applyFill="1" applyBorder="1" applyAlignment="1">
      <x:alignment wrapText="1"/>
    </x:xf>
    <x:xf numFmtId="0" fontId="12" fillId="0" borderId="4" xfId="0" applyNumberFormat="1" applyFont="1" applyFill="1" applyBorder="1" applyAlignment="1">
      <x:alignment wrapText="1"/>
    </x:xf>
    <x:xf numFmtId="0" fontId="12" fillId="0" borderId="5" xfId="0" applyNumberFormat="1" applyFont="1" applyFill="1" applyBorder="1" applyAlignment="1">
      <x:alignment wrapText="1"/>
    </x:xf>
    <x:xf numFmtId="0" fontId="12" fillId="0" borderId="6" xfId="0" applyNumberFormat="1" applyFont="1" applyFill="1" applyBorder="1" applyAlignment="1">
      <x:alignment wrapText="1"/>
    </x:xf>
    <x:xf numFmtId="0" fontId="12" fillId="0" borderId="7" xfId="0" applyNumberFormat="1" applyFont="1" applyFill="1" applyBorder="1" applyAlignment="1">
      <x:alignment wrapText="1"/>
    </x:xf>
    <x:xf numFmtId="0" fontId="12" fillId="0" borderId="8" xfId="0" applyNumberFormat="1" applyFont="1" applyFill="1" applyBorder="1" applyAlignment="1">
      <x:alignment wrapText="1"/>
    </x:xf>
    <x:xf numFmtId="0" fontId="12" fillId="0" borderId="9" xfId="0" applyNumberFormat="1" applyFont="1" applyFill="1" applyBorder="1" applyAlignment="1">
      <x:alignment wrapText="1"/>
    </x:xf>
    <x:xf numFmtId="0" fontId="12" fillId="0" borderId="10" xfId="0" applyNumberFormat="1" applyFont="1" applyFill="1" applyBorder="1" applyAlignment="1">
      <x:alignment wrapText="1"/>
    </x:xf>
    <x:xf numFmtId="0" fontId="12" fillId="0" borderId="11" xfId="0" applyNumberFormat="1" applyFont="1" applyFill="1" applyBorder="1" applyAlignment="1">
      <x:alignment wrapText="1"/>
    </x:xf>
    <x:xf numFmtId="0" fontId="12" fillId="0" borderId="3" xfId="0" applyNumberFormat="1" applyFont="1" applyFill="1" applyBorder="1" applyAlignment="1">
      <x:alignment horizontal="left" wrapText="1"/>
    </x:xf>
    <x:xf numFmtId="0" fontId="12" fillId="0" borderId="4" xfId="0" applyNumberFormat="1" applyFont="1" applyFill="1" applyBorder="1" applyAlignment="1">
      <x:alignment horizontal="left" wrapText="1"/>
    </x:xf>
    <x:xf numFmtId="0" fontId="12" fillId="0" borderId="5" xfId="0" applyNumberFormat="1" applyFont="1" applyFill="1" applyBorder="1" applyAlignment="1">
      <x:alignment horizontal="left" wrapText="1"/>
    </x:xf>
    <x:xf numFmtId="0" fontId="12" fillId="0" borderId="6" xfId="0" applyNumberFormat="1" applyFont="1" applyFill="1" applyBorder="1" applyAlignment="1">
      <x:alignment horizontal="left" wrapText="1"/>
    </x:xf>
    <x:xf numFmtId="0" fontId="12" fillId="0" borderId="7" xfId="0" applyNumberFormat="1" applyFont="1" applyFill="1" applyBorder="1" applyAlignment="1">
      <x:alignment horizontal="left" wrapText="1"/>
    </x:xf>
    <x:xf numFmtId="0" fontId="12" fillId="0" borderId="8" xfId="0" applyNumberFormat="1" applyFont="1" applyFill="1" applyBorder="1" applyAlignment="1">
      <x:alignment horizontal="left" wrapText="1"/>
    </x:xf>
    <x:xf numFmtId="0" fontId="12" fillId="0" borderId="9" xfId="0" applyNumberFormat="1" applyFont="1" applyFill="1" applyBorder="1" applyAlignment="1">
      <x:alignment horizontal="left" wrapText="1"/>
    </x:xf>
    <x:xf numFmtId="0" fontId="12" fillId="0" borderId="10" xfId="0" applyNumberFormat="1" applyFont="1" applyFill="1" applyBorder="1" applyAlignment="1">
      <x:alignment horizontal="left" wrapText="1"/>
    </x:xf>
    <x:xf numFmtId="0" fontId="12" fillId="0" borderId="11" xfId="0" applyNumberFormat="1" applyFont="1" applyFill="1" applyBorder="1" applyAlignment="1">
      <x:alignment horizontal="left" wrapText="1"/>
    </x:xf>
    <x:xf numFmtId="0" fontId="12" fillId="0" borderId="3" xfId="0" applyNumberFormat="1" applyFont="1" applyFill="1" applyBorder="1" applyAlignment="1">
      <x:alignment horizontal="left" vertical="top" wrapText="1"/>
    </x:xf>
    <x:xf numFmtId="0" fontId="12" fillId="0" borderId="4" xfId="0" applyNumberFormat="1" applyFont="1" applyFill="1" applyBorder="1" applyAlignment="1">
      <x:alignment horizontal="left" vertical="top" wrapText="1"/>
    </x:xf>
    <x:xf numFmtId="0" fontId="12" fillId="0" borderId="5" xfId="0" applyNumberFormat="1" applyFont="1" applyFill="1" applyBorder="1" applyAlignment="1">
      <x:alignment horizontal="left" vertical="top" wrapText="1"/>
    </x:xf>
    <x:xf numFmtId="0" fontId="12" fillId="0" borderId="6" xfId="0" applyNumberFormat="1" applyFont="1" applyFill="1" applyBorder="1" applyAlignment="1">
      <x:alignment horizontal="left" vertical="top" wrapText="1"/>
    </x:xf>
    <x:xf numFmtId="0" fontId="12" fillId="0" borderId="7" xfId="0" applyNumberFormat="1" applyFont="1" applyFill="1" applyBorder="1" applyAlignment="1">
      <x:alignment horizontal="left" vertical="top" wrapText="1"/>
    </x:xf>
    <x:xf numFmtId="0" fontId="12" fillId="0" borderId="8" xfId="0" applyNumberFormat="1" applyFont="1" applyFill="1" applyBorder="1" applyAlignment="1">
      <x:alignment horizontal="left" vertical="top" wrapText="1"/>
    </x:xf>
    <x:xf numFmtId="0" fontId="12" fillId="0" borderId="9" xfId="0" applyNumberFormat="1" applyFont="1" applyFill="1" applyBorder="1" applyAlignment="1">
      <x:alignment horizontal="left" vertical="top" wrapText="1"/>
    </x:xf>
    <x:xf numFmtId="0" fontId="12" fillId="0" borderId="10" xfId="0" applyNumberFormat="1" applyFont="1" applyFill="1" applyBorder="1" applyAlignment="1">
      <x:alignment horizontal="left" vertical="top" wrapText="1"/>
    </x:xf>
    <x:xf numFmtId="0" fontId="12" fillId="0" borderId="11" xfId="0" applyNumberFormat="1" applyFont="1" applyFill="1" applyBorder="1" applyAlignment="1">
      <x:alignment horizontal="left" vertical="top" wrapText="1"/>
    </x:xf>
    <x:xf numFmtId="0" fontId="12" fillId="11" borderId="3" xfId="0" applyNumberFormat="1" applyFont="1" applyFill="1" applyBorder="1" applyAlignment="1">
      <x:alignment horizontal="left" vertical="top" wrapText="1"/>
    </x:xf>
    <x:xf numFmtId="0" fontId="12" fillId="11" borderId="4" xfId="0" applyNumberFormat="1" applyFont="1" applyFill="1" applyBorder="1" applyAlignment="1">
      <x:alignment horizontal="left" vertical="top" wrapText="1"/>
    </x:xf>
    <x:xf numFmtId="0" fontId="12" fillId="11" borderId="5" xfId="0" applyNumberFormat="1" applyFont="1" applyFill="1" applyBorder="1" applyAlignment="1">
      <x:alignment horizontal="left" vertical="top" wrapText="1"/>
    </x:xf>
    <x:xf numFmtId="0" fontId="12" fillId="12" borderId="6" xfId="0" applyNumberFormat="1" applyFont="1" applyFill="1" applyBorder="1" applyAlignment="1">
      <x:alignment horizontal="left" vertical="top" wrapText="1"/>
    </x:xf>
    <x:xf numFmtId="0" fontId="12" fillId="12" borderId="7" xfId="0" applyNumberFormat="1" applyFont="1" applyFill="1" applyBorder="1" applyAlignment="1">
      <x:alignment horizontal="left" vertical="top" wrapText="1"/>
    </x:xf>
    <x:xf numFmtId="0" fontId="12" fillId="12" borderId="8" xfId="0" applyNumberFormat="1" applyFont="1" applyFill="1" applyBorder="1" applyAlignment="1">
      <x:alignment horizontal="left" vertical="top" wrapText="1"/>
    </x:xf>
    <x:xf numFmtId="0" fontId="12" fillId="11" borderId="6" xfId="0" applyNumberFormat="1" applyFont="1" applyFill="1" applyBorder="1" applyAlignment="1">
      <x:alignment horizontal="left" vertical="top" wrapText="1"/>
    </x:xf>
    <x:xf numFmtId="0" fontId="12" fillId="11" borderId="7" xfId="0" applyNumberFormat="1" applyFont="1" applyFill="1" applyBorder="1" applyAlignment="1">
      <x:alignment horizontal="left" vertical="top" wrapText="1"/>
    </x:xf>
    <x:xf numFmtId="0" fontId="12" fillId="11" borderId="8" xfId="0" applyNumberFormat="1" applyFont="1" applyFill="1" applyBorder="1" applyAlignment="1">
      <x:alignment horizontal="left" vertical="top" wrapText="1"/>
    </x:xf>
    <x:xf numFmtId="0" fontId="12" fillId="12" borderId="9" xfId="0" applyNumberFormat="1" applyFont="1" applyFill="1" applyBorder="1" applyAlignment="1">
      <x:alignment horizontal="left" vertical="top" wrapText="1"/>
    </x:xf>
    <x:xf numFmtId="0" fontId="12" fillId="12" borderId="10" xfId="0" applyNumberFormat="1" applyFont="1" applyFill="1" applyBorder="1" applyAlignment="1">
      <x:alignment horizontal="left" vertical="top" wrapText="1"/>
    </x:xf>
    <x:xf numFmtId="0" fontId="12" fillId="12" borderId="11" xfId="0" applyNumberFormat="1" applyFont="1" applyFill="1" applyBorder="1" applyAlignment="1">
      <x:alignment horizontal="left" vertical="top" wrapText="1"/>
    </x:xf>
  </x:cellXfs>
  <x:cellStyles count="1">
    <x:cellStyle name="Normal" xfId="0"/>
  </x:cellStyles>
  <x:dxfs count="11">
    <x:dxf>
      <x:font>
        <x:b/>
        <x:color rgb="FF2E7D32"/>
      </x:font>
      <x:fill>
        <x:patternFill>
          <x:bgColor rgb="FFE8F5E9"/>
        </x:patternFill>
      </x:fill>
    </x:dxf>
    <x:dxf>
      <x:font>
        <x:b/>
        <x:color rgb="FF1F4E78"/>
      </x:font>
      <x:fill>
        <x:patternFill>
          <x:bgColor rgb="FFEAF2F8"/>
        </x:patternFill>
      </x:fill>
    </x:dxf>
    <x:dxf>
      <x:font>
        <x:b/>
        <x:color rgb="FFC62828"/>
      </x:font>
      <x:fill>
        <x:patternFill>
          <x:bgColor rgb="FFFFEBEE"/>
        </x:patternFill>
      </x:fill>
    </x:dxf>
    <x:dxf>
      <x:font>
        <x:b/>
        <x:color rgb="FF8A5A00"/>
      </x:font>
      <x:fill>
        <x:patternFill>
          <x:bgColor rgb="FFFFF8E1"/>
        </x:patternFill>
      </x:fill>
    </x:dxf>
    <x:dxf>
      <x:font>
        <x:b/>
        <x:color rgb="FFC62828"/>
      </x:font>
      <x:fill>
        <x:patternFill>
          <x:bgColor rgb="FFFFEBEE"/>
        </x:patternFill>
      </x:fill>
    </x:dxf>
    <x:dxf>
      <x:font>
        <x:b/>
        <x:color rgb="FF8A5A00"/>
      </x:font>
      <x:fill>
        <x:patternFill>
          <x:bgColor rgb="FFFFF8E1"/>
        </x:patternFill>
      </x:fill>
    </x:dxf>
    <x:dxf>
      <x:font>
        <x:b/>
        <x:color rgb="FFC62828"/>
      </x:font>
      <x:fill>
        <x:patternFill>
          <x:bgColor rgb="FFFFEBEE"/>
        </x:patternFill>
      </x:fill>
    </x:dxf>
    <x:dxf>
      <x:font>
        <x:b/>
        <x:color rgb="FF6A1B9A"/>
      </x:font>
      <x:fill>
        <x:patternFill>
          <x:bgColor rgb="FFF3E5F5"/>
        </x:patternFill>
      </x:fill>
    </x:dxf>
    <x:dxf>
      <x:font>
        <x:b/>
        <x:color rgb="FF2E7D32"/>
      </x:font>
      <x:fill>
        <x:patternFill>
          <x:bgColor rgb="FFE8F5E9"/>
        </x:patternFill>
      </x:fill>
    </x:dxf>
    <x:dxf>
      <x:font>
        <x:b/>
        <x:color rgb="FFC62828"/>
      </x:font>
      <x:fill>
        <x:patternFill>
          <x:bgColor rgb="FFFFEBEE"/>
        </x:patternFill>
      </x:fill>
    </x:dxf>
    <x:dxf>
      <x:font>
        <x:b/>
        <x:color rgb="FFC62828"/>
      </x:font>
      <x:fill>
        <x:patternFill>
          <x:bgColor rgb="FFFFEBE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eb5682242c24612" /><Relationship Type="http://schemas.openxmlformats.org/officeDocument/2006/relationships/theme" Target="/xl/theme/theme1.xml" Id="Ra7b9e799d3454cab" /><Relationship Type="http://schemas.openxmlformats.org/officeDocument/2006/relationships/sharedStrings" Target="/xl/sharedStrings.xml" Id="R83354c8470df4f6d" /><Relationship Type="http://schemas.openxmlformats.org/officeDocument/2006/relationships/worksheet" Target="/xl/worksheets/sheet1.xml" Id="R9837055f44bb45a4" /><Relationship Type="http://schemas.openxmlformats.org/officeDocument/2006/relationships/worksheet" Target="/xl/worksheets/sheet2.xml" Id="R06d9dbe355794ccc" /><Relationship Type="http://schemas.openxmlformats.org/officeDocument/2006/relationships/worksheet" Target="/xl/worksheets/sheet3.xml" Id="R23d276f02cda4c53" /><Relationship Type="http://schemas.openxmlformats.org/officeDocument/2006/relationships/worksheet" Target="/xl/worksheets/sheet4.xml" Id="Reb462f3ebb7b496f" /><Relationship Type="http://schemas.openxmlformats.org/officeDocument/2006/relationships/worksheet" Target="/xl/worksheets/sheet5.xml" Id="R9b77c347524149ee" /><Relationship Type="http://schemas.openxmlformats.org/officeDocument/2006/relationships/worksheet" Target="/xl/worksheets/sheet6.xml" Id="R51ba4e6745174424" /><Relationship Type="http://schemas.openxmlformats.org/officeDocument/2006/relationships/worksheet" Target="/xl/worksheets/sheet7.xml" Id="R24c8a7b9729648b6" /><Relationship Type="http://schemas.openxmlformats.org/officeDocument/2006/relationships/worksheet" Target="/xl/worksheets/sheet8.xml" Id="R6abb18c2701c4f3f" /><Relationship Type="http://schemas.openxmlformats.org/officeDocument/2006/relationships/worksheet" Target="/xl/worksheets/sheet9.xml" Id="R925cd6e5cd634647" /><Relationship Type="http://schemas.microsoft.com/office/2017/10/relationships/person" Target="/xl/persons/person.xml" Id="R10056492bed54142" /></Relationships>
</file>

<file path=xl/drawings/_rels/drawing1.xml.rels>&#65279;<?xml version="1.0" encoding="utf-8"?><Relationships xmlns="http://schemas.openxmlformats.org/package/2006/relationships"><Relationship Type="http://schemas.openxmlformats.org/officeDocument/2006/relationships/chart" Target="/xl/drawings/charts/chart1.xml" Id="Rff33127862394b4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Tasks by Phase: Total vs Done</a:t>
            </a:r>
          </a:p>
        </c:rich>
      </c:tx>
    </c:title>
    <c:autoTitleDeleted val="0"/>
    <c:plotArea>
      <c:barChart>
        <c:barDir val="col"/>
        <c:varyColors val="0"/>
        <c:ser>
          <c:idx val="0"/>
          <c:order val="0"/>
          <c:tx>
            <c:v>Total</c:v>
          </c:tx>
          <c:cat>
            <c:strRef>
              <c:f>'Dashboard'!$A$16:$A$23</c:f>
              <c:strCache>
                <c:ptCount val="0"/>
              </c:strCache>
            </c:strRef>
          </c:cat>
          <c:val>
            <c:numRef>
              <c:f>'Dashboard'!$B$16:$B$23</c:f>
              <c:numCache>
                <c:formatCode>General</c:formatCode>
                <c:ptCount val="0"/>
              </c:numCache>
            </c:numRef>
          </c:val>
        </c:ser>
        <c:ser>
          <c:idx val="1"/>
          <c:order val="1"/>
          <c:tx>
            <c:v>Done</c:v>
          </c:tx>
          <c:cat>
            <c:strRef>
              <c:f>'Dashboard'!$A$16:$A$23</c:f>
              <c:strCache>
                <c:ptCount val="0"/>
              </c:strCache>
            </c:strRef>
          </c:cat>
          <c:val>
            <c:numRef>
              <c:f>'Dashboard'!$C$16:$C$23</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24</xdr:row>
      <xdr:rowOff>0</xdr:rowOff>
    </xdr:from>
    <xdr:to>
      <xdr:col>8</xdr:col>
      <xdr:colOff>0</xdr:colOff>
      <xdr:row>42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f33127862394b4e"/>
        </a:graphicData>
      </a:graphic>
    </xdr:graphicFrame>
    <xdr:clientData/>
  </xdr:twoCellAnchor>
</xdr:wsDr>
</file>

<file path=xl/persons/person.xml><?xml version="1.0" encoding="utf-8"?>
<xltc:personList xmlns:xltc="http://schemas.microsoft.com/office/spreadsheetml/2018/threadedcomments">
  <xltc:person displayName="Aditya Prabhu" id="{064B8473-3B23-4025-9033-46DBE29260A4}"/>
</xltc:personList>
</file>

<file path=xl/tables/table1.xml><?xml version="1.0" encoding="utf-8"?>
<x:table xmlns:x="http://schemas.openxmlformats.org/spreadsheetml/2006/main" id="1" name="ResubmissionTasks" displayName="ResubmissionTasks" ref="A4:T94" headerRowCount="1">
  <x:tableColumns count="20">
    <x:tableColumn id="1" name="ID"/>
    <x:tableColumn id="2" name="Phase"/>
    <x:tableColumn id="3" name="Priority"/>
    <x:tableColumn id="4" name="Reviewer(s)"/>
    <x:tableColumn id="5" name="Category"/>
    <x:tableColumn id="6" name="Task"/>
    <x:tableColumn id="7" name="Why / Problem"/>
    <x:tableColumn id="8" name="Detailed Action Steps"/>
    <x:tableColumn id="9" name="Definition of Done"/>
    <x:tableColumn id="10" name="Deliverable / Evidence"/>
    <x:tableColumn id="11" name="Dependency"/>
    <x:tableColumn id="12" name="Suggested Owner"/>
    <x:tableColumn id="13" name="Target Week"/>
    <x:tableColumn id="14" name="Status"/>
    <x:tableColumn id="15" name="% Complete"/>
    <x:tableColumn id="16" name="Blocking"/>
    <x:tableColumn id="17" name="Decision Required"/>
    <x:tableColumn id="18" name="Manuscript Section"/>
    <x:tableColumn id="19" name="Response Ref"/>
    <x:tableColumn id="20" name="Notes"/>
  </x:tableColumns>
  <x:tableStyleInfo name="TableStyleMedium2" showRowStripes="1"/>
</x:table>
</file>

<file path=xl/tables/table2.xml><?xml version="1.0" encoding="utf-8"?>
<x:table xmlns:x="http://schemas.openxmlformats.org/spreadsheetml/2006/main" id="2" name="DecisionTable" displayName="DecisionTable" ref="A1:I8" headerRowCount="1">
  <x:tableColumns count="9">
    <x:tableColumn id="1" name="Decision ID"/>
    <x:tableColumn id="2" name="Decision"/>
    <x:tableColumn id="3" name="Options"/>
    <x:tableColumn id="4" name="Recommendation"/>
    <x:tableColumn id="5" name="Final Decision"/>
    <x:tableColumn id="6" name="Rationale"/>
    <x:tableColumn id="7" name="Approver"/>
    <x:tableColumn id="8" name="Decision Date"/>
    <x:tableColumn id="9" name="Status"/>
  </x:tableColumns>
  <x:tableStyleInfo name="TableStyleMedium2" showRowStripes="1"/>
</x:table>
</file>

<file path=xl/tables/table3.xml><?xml version="1.0" encoding="utf-8"?>
<x:table xmlns:x="http://schemas.openxmlformats.org/spreadsheetml/2006/main" id="3" name="ReviewerTable" displayName="ReviewerTable" ref="A1:H10" headerRowCount="1">
  <x:tableColumns count="8">
    <x:tableColumn id="1" name="Reviewer"/>
    <x:tableColumn id="2" name="Overall Position"/>
    <x:tableColumn id="3" name="Key Concerns"/>
    <x:tableColumn id="4" name="Required Resolution"/>
    <x:tableColumn id="5" name="Primary Task IDs"/>
    <x:tableColumn id="6" name="Response Stance"/>
    <x:tableColumn id="7" name="Status"/>
    <x:tableColumn id="8" name="Notes"/>
  </x:tableColumns>
  <x:tableStyleInfo name="TableStyleMedium2" showRowStripes="1"/>
</x:table>
</file>

<file path=xl/tables/table4.xml><?xml version="1.0" encoding="utf-8"?>
<x:table xmlns:x="http://schemas.openxmlformats.org/spreadsheetml/2006/main" id="4" name="ReferenceAuditTable" displayName="ReferenceAuditTable" ref="A1:J39" headerRowCount="1">
  <x:tableColumns count="10">
    <x:tableColumn id="1" name="Ref #"/>
    <x:tableColumn id="2" name="Current Short Title"/>
    <x:tableColumn id="3" name="Official Record URL"/>
    <x:tableColumn id="4" name="DOI / Identifier"/>
    <x:tableColumn id="5" name="Verified?"/>
    <x:tableColumn id="6" name="Exact Metadata Correct?"/>
    <x:tableColumn id="7" name="Claim Supported?"/>
    <x:tableColumn id="8" name="Action"/>
    <x:tableColumn id="9" name="Replacement Ref"/>
    <x:tableColumn id="10" name="Auditor Notes"/>
  </x:tableColumns>
  <x:tableStyleInfo name="TableStyleMedium2" showRowStripes="1"/>
</x:table>
</file>

<file path=xl/tables/table5.xml><?xml version="1.0" encoding="utf-8"?>
<x:table xmlns:x="http://schemas.openxmlformats.org/spreadsheetml/2006/main" id="5" name="ExperimentTable" displayName="ExperimentTable" ref="A1:M13" headerRowCount="1">
  <x:tableColumns count="13">
    <x:tableColumn id="1" name="Experiment ID"/>
    <x:tableColumn id="2" name="Question / Hypothesis"/>
    <x:tableColumn id="3" name="Dataset / Workload"/>
    <x:tableColumn id="4" name="Configurations"/>
    <x:tableColumn id="5" name="Runs Planned"/>
    <x:tableColumn id="6" name="Primary Metrics"/>
    <x:tableColumn id="7" name="Required Controls"/>
    <x:tableColumn id="8" name="Output / Figure"/>
    <x:tableColumn id="9" name="Dependency"/>
    <x:tableColumn id="10" name="Owner"/>
    <x:tableColumn id="11" name="Status"/>
    <x:tableColumn id="12" name="Result Summary"/>
    <x:tableColumn id="13" name="Log / Commit"/>
  </x:tableColumns>
  <x:tableStyleInfo name="TableStyleMedium2" showRowStripes="1"/>
</x:table>
</file>

<file path=xl/tables/table6.xml><?xml version="1.0" encoding="utf-8"?>
<x:table xmlns:x="http://schemas.openxmlformats.org/spreadsheetml/2006/main" id="6" name="CorrectionsTable" displayName="CorrectionsTable" ref="A1:E11" headerRowCount="1">
  <x:tableColumns count="5">
    <x:tableColumn id="1" name="Item"/>
    <x:tableColumn id="2" name="Change from Uploaded Tracker"/>
    <x:tableColumn id="3" name="Why the Change Is Needed"/>
    <x:tableColumn id="4" name="Tracker Location / Evidence"/>
    <x:tableColumn id="5" name="Action"/>
  </x:tableColumns>
  <x:tableStyleInfo name="TableStyleMedium2" showRowStripes="1"/>
</x:table>
</file>

<file path=xl/tables/table7.xml><?xml version="1.0" encoding="utf-8"?>
<x:table xmlns:x="http://schemas.openxmlformats.org/spreadsheetml/2006/main" id="7" name="SubmissionChecklistTable" displayName="SubmissionChecklistTable" ref="A1:H17" headerRowCount="1">
  <x:tableColumns count="8">
    <x:tableColumn id="1" name="#"/>
    <x:tableColumn id="2" name="Checklist Item"/>
    <x:tableColumn id="3" name="Required File / Evidence"/>
    <x:tableColumn id="4" name="Owner"/>
    <x:tableColumn id="5" name="Status"/>
    <x:tableColumn id="6" name="Verified By"/>
    <x:tableColumn id="7" name="Verification Date"/>
    <x:tableColumn id="8"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U4" dT="2026-07-18T06:38:04.091" personId="{064B8473-3B23-4025-9033-46DBE29260A4}" id="{A297B10B-2E36-0590-4078-0D0C399BA34D}">
    <xltc:text>This column records the evidence-based proposed decision for each reviewer concern. A proposed decision is not a claim that an experiment or manuscript edit has already been completed.</xltc:text>
  </xltc:threadedComment>
  <xltc:threadedComment ref="Z4" dT="2026-07-18T06:38:04.092" personId="{064B8473-3B23-4025-9033-46DBE29260A4}" id="{C6724FF4-38F0-9F12-D02C-6BE0682EF381}">
    <xltc:text>Use this field to distinguish resolved reasoning from pending code, data, author approval, experiment, formatting, or submission work.</xltc:text>
  </xltc:threadedComment>
</xltc:ThreadedComments>
</file>

<file path=xl/worksheets/_rels/sheet2.xml.rels>&#65279;<?xml version="1.0" encoding="utf-8"?><Relationships xmlns="http://schemas.openxmlformats.org/package/2006/relationships"><Relationship Type="http://schemas.openxmlformats.org/officeDocument/2006/relationships/comments" Target="/xl/comments1.xml" Id="R97e3cfffc0c04ec6" /><Relationship Type="http://schemas.openxmlformats.org/officeDocument/2006/relationships/vmlDrawing" Target="/xl/drawings/vmldrawing.vml" Id="R76386c2cde5d49f0" /><Relationship Type="http://schemas.microsoft.com/office/2017/10/relationships/threadedComment" Target="/xl/threadedcomments/threadedcomment.xml" Id="R1d54e1e80fa14864" /><Relationship Type="http://schemas.openxmlformats.org/officeDocument/2006/relationships/table" Target="/xl/tables/table1.xml" Id="Rc96aca0b53094cc3" /></Relationships>
</file>

<file path=xl/worksheets/_rels/sheet3.xml.rels>&#65279;<?xml version="1.0" encoding="utf-8"?><Relationships xmlns="http://schemas.openxmlformats.org/package/2006/relationships"><Relationship Type="http://schemas.openxmlformats.org/officeDocument/2006/relationships/drawing" Target="/xl/drawings/drawing1.xml" Id="R1fd43241e53f4130" /></Relationships>
</file>

<file path=xl/worksheets/_rels/sheet4.xml.rels>&#65279;<?xml version="1.0" encoding="utf-8"?><Relationships xmlns="http://schemas.openxmlformats.org/package/2006/relationships"><Relationship Type="http://schemas.openxmlformats.org/officeDocument/2006/relationships/table" Target="/xl/tables/table2.xml" Id="Ra200625618944bb2" /></Relationships>
</file>

<file path=xl/worksheets/_rels/sheet5.xml.rels>&#65279;<?xml version="1.0" encoding="utf-8"?><Relationships xmlns="http://schemas.openxmlformats.org/package/2006/relationships"><Relationship Type="http://schemas.openxmlformats.org/officeDocument/2006/relationships/table" Target="/xl/tables/table3.xml" Id="R19aeea126cf941a9" /></Relationships>
</file>

<file path=xl/worksheets/_rels/sheet6.xml.rels>&#65279;<?xml version="1.0" encoding="utf-8"?><Relationships xmlns="http://schemas.openxmlformats.org/package/2006/relationships"><Relationship Type="http://schemas.openxmlformats.org/officeDocument/2006/relationships/table" Target="/xl/tables/table4.xml" Id="Rab4a43731df24d63" /></Relationships>
</file>

<file path=xl/worksheets/_rels/sheet7.xml.rels>&#65279;<?xml version="1.0" encoding="utf-8"?><Relationships xmlns="http://schemas.openxmlformats.org/package/2006/relationships"><Relationship Type="http://schemas.openxmlformats.org/officeDocument/2006/relationships/table" Target="/xl/tables/table5.xml" Id="Rd165150a8a8448ab" /></Relationships>
</file>

<file path=xl/worksheets/_rels/sheet8.xml.rels>&#65279;<?xml version="1.0" encoding="utf-8"?><Relationships xmlns="http://schemas.openxmlformats.org/package/2006/relationships"><Relationship Type="http://schemas.openxmlformats.org/officeDocument/2006/relationships/table" Target="/xl/tables/table6.xml" Id="Rd8a6aac071b84260" /></Relationships>
</file>

<file path=xl/worksheets/_rels/sheet9.xml.rels>&#65279;<?xml version="1.0" encoding="utf-8"?><Relationships xmlns="http://schemas.openxmlformats.org/package/2006/relationships"><Relationship Type="http://schemas.openxmlformats.org/officeDocument/2006/relationships/table" Target="/xl/tables/table7.xml" Id="Rb60b329872af402b" /></Relationships>
</file>

<file path=xl/worksheets/sheet1.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s>
  <x:sheetData>
    <x:row r="1">
      <x:c r="A1" s="3" t="str">
        <x:v>Status</x:v>
      </x:c>
      <x:c r="B1" s="3" t="str">
        <x:v>Priority</x:v>
      </x:c>
      <x:c r="C1" s="3" t="str">
        <x:v>Owner</x:v>
      </x:c>
      <x:c r="D1" s="3" t="str">
        <x:v>Yes/No</x:v>
      </x:c>
      <x:c r="E1" s="3" t="str">
        <x:v>Target Week</x:v>
      </x:c>
    </x:row>
    <x:row r="2">
      <x:c r="A2" s="6" t="str">
        <x:v>Not Started</x:v>
      </x:c>
      <x:c r="B2" s="6" t="str">
        <x:v>P0 Critical</x:v>
      </x:c>
      <x:c r="C2" s="6" t="str">
        <x:v>Aditya</x:v>
      </x:c>
      <x:c r="D2" s="6" t="str">
        <x:v>Yes</x:v>
      </x:c>
      <x:c r="E2" s="6" t="str">
        <x:v>Week 1</x:v>
      </x:c>
    </x:row>
    <x:row r="3">
      <x:c r="A3" s="6" t="str">
        <x:v>In Progress</x:v>
      </x:c>
      <x:c r="B3" s="6" t="str">
        <x:v>P1 Major</x:v>
      </x:c>
      <x:c r="C3" s="6" t="str">
        <x:v>Guide</x:v>
      </x:c>
      <x:c r="D3" s="6" t="str">
        <x:v>No</x:v>
      </x:c>
      <x:c r="E3" s="6" t="str">
        <x:v>Week 2</x:v>
      </x:c>
    </x:row>
    <x:row r="4">
      <x:c r="A4" s="6" t="str">
        <x:v>Blocked</x:v>
      </x:c>
      <x:c r="B4" s="6" t="str">
        <x:v>P2 Supporting</x:v>
      </x:c>
      <x:c r="C4" s="6" t="str">
        <x:v>Aditya + Guide</x:v>
      </x:c>
      <x:c r="D4" s="6" t="str"/>
      <x:c r="E4" s="6" t="str">
        <x:v>Week 3</x:v>
      </x:c>
    </x:row>
    <x:row r="5">
      <x:c r="A5" s="6" t="str">
        <x:v>Ready for Review</x:v>
      </x:c>
      <x:c r="B5" s="6" t="str">
        <x:v>P3 Polish</x:v>
      </x:c>
      <x:c r="C5" s="6" t="str">
        <x:v>Math reviewer</x:v>
      </x:c>
      <x:c r="D5" s="6" t="str"/>
      <x:c r="E5" s="6" t="str">
        <x:v>Week 4</x:v>
      </x:c>
    </x:row>
    <x:row r="6">
      <x:c r="A6" s="6" t="str">
        <x:v>Done</x:v>
      </x:c>
      <x:c r="B6" s="6" t="str"/>
      <x:c r="C6" s="6" t="str">
        <x:v>Independent colleague</x:v>
      </x:c>
      <x:c r="D6" s="6" t="str"/>
      <x:c r="E6" s="6" t="str">
        <x:v>Week 5</x:v>
      </x:c>
    </x:row>
    <x:row r="7">
      <x:c r="A7" s="6" t="str"/>
      <x:c r="B7" s="6" t="str"/>
      <x:c r="C7" s="6" t="str">
        <x:v>Infra support</x:v>
      </x:c>
      <x:c r="D7" s="6" t="str"/>
      <x:c r="E7" s="6" t="str">
        <x:v>Week 6</x:v>
      </x:c>
    </x:row>
    <x:row r="8">
      <x:c r="A8" s="6" t="str"/>
      <x:c r="B8" s="6" t="str"/>
      <x:c r="C8" s="6" t="str">
        <x:v>Statistician/Guide</x:v>
      </x:c>
      <x:c r="D8" s="6" t="str"/>
      <x:c r="E8" s="6" t="str">
        <x:v>Week 7</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26" hidden="0" customWidth="1"/>
    <x:col min="3" max="3" width="13" hidden="0" customWidth="1"/>
    <x:col min="4" max="4" width="15" hidden="0" customWidth="1"/>
    <x:col min="5" max="5" width="19" hidden="0" customWidth="1"/>
    <x:col min="6" max="6" width="38" hidden="0" customWidth="1"/>
    <x:col min="7" max="7" width="42" hidden="0" customWidth="1"/>
    <x:col min="8" max="8" width="48" hidden="0" customWidth="1"/>
    <x:col min="9" max="9" width="38" hidden="0" customWidth="1"/>
    <x:col min="10" max="10" width="30" hidden="0" customWidth="1"/>
    <x:col min="11" max="11" width="19" hidden="0" customWidth="1"/>
    <x:col min="12" max="12" width="19" hidden="0" customWidth="1"/>
    <x:col min="13" max="13" width="13" hidden="0" customWidth="1"/>
    <x:col min="14" max="14" width="18" hidden="0" customWidth="1"/>
    <x:col min="15" max="15" width="12" hidden="0" customWidth="1"/>
    <x:col min="16" max="16" width="11" hidden="0" customWidth="1"/>
    <x:col min="17" max="17" width="16" hidden="0" customWidth="1"/>
    <x:col min="18" max="18" width="25" hidden="0" customWidth="1"/>
    <x:col min="19" max="19" width="13" hidden="0" customWidth="1"/>
    <x:col min="20" max="20" width="32" hidden="0" customWidth="1"/>
    <x:col min="21" max="21" width="34" hidden="0" customWidth="1"/>
    <x:col min="22" max="22" width="48" hidden="0" customWidth="1"/>
    <x:col min="23" max="23" width="55" hidden="0" customWidth="1"/>
    <x:col min="24" max="24" width="55" hidden="0" customWidth="1"/>
    <x:col min="25" max="25" width="38" hidden="0" customWidth="1"/>
    <x:col min="26" max="26" width="27" hidden="0" customWidth="1"/>
  </x:cols>
  <x:sheetData>
    <x:row r="1" ht="34" customHeight="1">
      <x:c r="A1" s="9" t="str">
        <x:v>D-MSTCN IEEE Access Resubmission Master Tracker - Reviewer Resolution Edition</x:v>
      </x:c>
      <x:c r="B1" s="9"/>
      <x:c r="C1" s="9"/>
      <x:c r="D1" s="9"/>
      <x:c r="E1" s="9"/>
      <x:c r="F1" s="9"/>
      <x:c r="G1" s="9"/>
      <x:c r="H1" s="9"/>
      <x:c r="I1" s="9"/>
      <x:c r="J1" s="9"/>
      <x:c r="K1" s="9"/>
      <x:c r="L1" s="9"/>
      <x:c r="M1" s="9"/>
      <x:c r="N1" s="9"/>
      <x:c r="O1" s="9"/>
      <x:c r="P1" s="9"/>
      <x:c r="Q1" s="9"/>
      <x:c r="R1" s="9"/>
      <x:c r="S1" s="9"/>
      <x:c r="T1" s="9"/>
    </x:row>
    <x:row r="2" ht="34" customHeight="1">
      <x:c r="A2" s="17" t="str">
        <x:v>All 90 tasks include a proposed decision, scientific justification, exact revision, reviewer-response draft, evidence gate and honest implementation state. Proposed decisions require author/guide approval; experiments are not marked complete without raw evidence.</x:v>
      </x:c>
      <x:c r="B2" s="17"/>
      <x:c r="C2" s="17"/>
      <x:c r="D2" s="17"/>
      <x:c r="E2" s="17"/>
      <x:c r="F2" s="17"/>
      <x:c r="G2" s="17"/>
      <x:c r="H2" s="17"/>
      <x:c r="I2" s="17"/>
      <x:c r="J2" s="17"/>
      <x:c r="K2" s="17"/>
      <x:c r="L2" s="17"/>
      <x:c r="M2" s="17"/>
      <x:c r="N2" s="17"/>
      <x:c r="O2" s="17"/>
      <x:c r="P2" s="17"/>
      <x:c r="Q2" s="17"/>
      <x:c r="R2" s="17"/>
      <x:c r="S2" s="17"/>
      <x:c r="T2" s="17"/>
    </x:row>
    <x:row r="4" ht="46" customHeight="1">
      <x:c r="A4" s="27" t="str">
        <x:v>ID</x:v>
      </x:c>
      <x:c r="B4" s="27" t="str">
        <x:v>Phase</x:v>
      </x:c>
      <x:c r="C4" s="27" t="str">
        <x:v>Priority</x:v>
      </x:c>
      <x:c r="D4" s="27" t="str">
        <x:v>Reviewer(s)</x:v>
      </x:c>
      <x:c r="E4" s="27" t="str">
        <x:v>Category</x:v>
      </x:c>
      <x:c r="F4" s="27" t="str">
        <x:v>Task</x:v>
      </x:c>
      <x:c r="G4" s="27" t="str">
        <x:v>Why / Problem</x:v>
      </x:c>
      <x:c r="H4" s="27" t="str">
        <x:v>Detailed Action Steps</x:v>
      </x:c>
      <x:c r="I4" s="27" t="str">
        <x:v>Definition of Done</x:v>
      </x:c>
      <x:c r="J4" s="27" t="str">
        <x:v>Deliverable / Evidence</x:v>
      </x:c>
      <x:c r="K4" s="27" t="str">
        <x:v>Dependency</x:v>
      </x:c>
      <x:c r="L4" s="27" t="str">
        <x:v>Suggested Owner</x:v>
      </x:c>
      <x:c r="M4" s="27" t="str">
        <x:v>Target Week</x:v>
      </x:c>
      <x:c r="N4" s="27" t="str">
        <x:v>Status</x:v>
      </x:c>
      <x:c r="O4" s="27" t="str">
        <x:v>% Complete</x:v>
      </x:c>
      <x:c r="P4" s="27" t="str">
        <x:v>Blocking</x:v>
      </x:c>
      <x:c r="Q4" s="27" t="str">
        <x:v>Decision Required</x:v>
      </x:c>
      <x:c r="R4" s="27" t="str">
        <x:v>Manuscript Section</x:v>
      </x:c>
      <x:c r="S4" s="27" t="str">
        <x:v>Response Ref</x:v>
      </x:c>
      <x:c r="T4" s="27" t="str">
        <x:v>Notes</x:v>
      </x:c>
      <x:c r="U4" s="104" t="str">
        <x:v>Proposed Resolution / Decision</x:v>
      </x:c>
      <x:c r="V4" s="104" t="str">
        <x:v>Detailed Scientific Justification</x:v>
      </x:c>
      <x:c r="W4" s="104" t="str">
        <x:v>Exact Manuscript Change</x:v>
      </x:c>
      <x:c r="X4" s="104" t="str">
        <x:v>Draft Response to Reviewer</x:v>
      </x:c>
      <x:c r="Y4" s="104" t="str">
        <x:v>Evidence / Acceptance Test</x:v>
      </x:c>
      <x:c r="Z4" s="104" t="str">
        <x:v>Resolution State</x:v>
      </x:c>
    </x:row>
    <x:row r="5" ht="150" customHeight="1">
      <x:c r="A5" s="37" t="str">
        <x:v>G0-01</x:v>
      </x:c>
      <x:c r="B5" s="39" t="str">
        <x:v>0. Integrity &amp; Ground Truth</x:v>
      </x:c>
      <x:c r="C5" s="35" t="str">
        <x:v>P0 Critical</x:v>
      </x:c>
      <x:c r="D5" s="35" t="str">
        <x:v>R7; Editor</x:v>
      </x:c>
      <x:c r="E5" s="35" t="str">
        <x:v>Reference integrity</x:v>
      </x:c>
      <x:c r="F5" s="35" t="str">
        <x:v>Audit all 38 references against authoritative records</x:v>
      </x:c>
      <x:c r="G5" s="35" t="str">
        <x:v>A reference-integrity objection can sink the resubmission even when the technical contribution is sound.</x:v>
      </x:c>
      <x:c r="H5" s="35" t="str">
        <x:v>• Verify exact title, full author list, venue, year, pages and DOI/official record for every reference.
• Record an authoritative URL and the exact manuscript claim supported by each citation.
• Mark unresolved entries as 'Unverified' rather than assuming they exist.</x:v>
      </x:c>
      <x:c r="I5" s="35" t="str">
        <x:v>All 38 rows in Reference Audit have source URL, verification status and claim mapping.</x:v>
      </x:c>
      <x:c r="J5" s="35" t="str">
        <x:v>Completed Reference Audit sheet + corrected .bib</x:v>
      </x:c>
      <x:c r="K5" s="35" t="str"/>
      <x:c r="L5" s="35" t="str">
        <x:v>Aditya</x:v>
      </x:c>
      <x:c r="M5" s="35" t="str">
        <x:v>Week 1</x:v>
      </x:c>
      <x:c r="N5" s="35" t="str">
        <x:v>Not Started</x:v>
      </x:c>
      <x:c r="O5" s="41" t="n">
        <x:v>0</x:v>
      </x:c>
      <x:c r="P5" s="35" t="str">
        <x:v>Yes</x:v>
      </x:c>
      <x:c r="Q5" s="35" t="str">
        <x:v>No</x:v>
      </x:c>
      <x:c r="R5" s="35" t="str">
        <x:v>References</x:v>
      </x:c>
      <x:c r="S5" s="35" t="str">
        <x:v>R7</x:v>
      </x:c>
      <x:c r="T5" s="35" t="str">
        <x:v>Resolution package added 2026-07-18; see columns U:Z. Keep task open until the stated evidence/acceptance test is satisfied.</x:v>
      </x:c>
      <x:c r="U5" s="142" t="str">
        <x:v>Use an authoritative-record audit for all 38 references. Retain verified records, remove current [25] and [37], and replace current [32] because its record/claim could not be validated.</x:v>
      </x:c>
      <x:c r="V5" s="143" t="str">
        <x:v>Reviewer 7 raised an integrity objection. A DOI/title check is necessary but not sufficient: each source must also support the attached sentence. The Reference Audit sheet now records the disposition and official locator for every entry.</x:v>
      </x:c>
      <x:c r="W5" s="143" t="str">
        <x:v>Correct metadata, add DOI/official URLs in the working bibliography, delete unsupported citations, and re-check numbering after recompilation.</x:v>
      </x:c>
      <x:c r="X5" s="143" t="str">
        <x:v>We agree that reference integrity must be resolved before resubmission. We completed an authoritative-record and claim-level audit; unverified or claim-mismatched entries were removed or replaced and the full bibliography was rechecked.</x:v>
      </x:c>
      <x:c r="Y5" s="143" t="str">
        <x:v>Completed Reference Audit; final .bib diff; clean PDF citation-number cross-check.</x:v>
      </x:c>
      <x:c r="Z5" s="144" t="str">
        <x:v>Decision complete; bibliography implementation and coauthor sign-off pending</x:v>
      </x:c>
    </x:row>
    <x:row r="6" ht="150" customHeight="1">
      <x:c r="A6" s="37" t="str">
        <x:v>G0-02</x:v>
      </x:c>
      <x:c r="B6" s="39" t="str">
        <x:v>0. Integrity &amp; Ground Truth</x:v>
      </x:c>
      <x:c r="C6" s="35" t="str">
        <x:v>P0 Critical</x:v>
      </x:c>
      <x:c r="D6" s="35" t="str">
        <x:v>R7</x:v>
      </x:c>
      <x:c r="E6" s="35" t="str">
        <x:v>Reference integrity</x:v>
      </x:c>
      <x:c r="F6" s="35" t="str">
        <x:v>Resolve references [25] and [37] without prematurely calling them fabricated</x:v>
      </x:c>
      <x:c r="G6" s="35" t="str">
        <x:v>The current tracker labels them confirmed non-existent, but that conclusion must be based on an authoritative provenance search.</x:v>
      </x:c>
      <x:c r="H6" s="35" t="str">
        <x:v>• Search official proceedings, Crossref, DBLP, publisher libraries and author profiles.
• If no authoritative record is found, remove and replace them with real papers that support the exact claims.
• In the response, state the audit process and correction without speculating about how the error occurred.</x:v>
      </x:c>
      <x:c r="I6" s="35" t="str">
        <x:v>Each reference is either verified with an official record or removed and replaced with a claim-matched source.</x:v>
      </x:c>
      <x:c r="J6" s="35" t="str">
        <x:v>Audit notes + corrected citations</x:v>
      </x:c>
      <x:c r="K6" s="35" t="str">
        <x:v>G0-01</x:v>
      </x:c>
      <x:c r="L6" s="35" t="str">
        <x:v>Aditya</x:v>
      </x:c>
      <x:c r="M6" s="35" t="str">
        <x:v>Week 1</x:v>
      </x:c>
      <x:c r="N6" s="35" t="str">
        <x:v>Not Started</x:v>
      </x:c>
      <x:c r="O6" s="41" t="n">
        <x:v>0</x:v>
      </x:c>
      <x:c r="P6" s="35" t="str">
        <x:v>Yes</x:v>
      </x:c>
      <x:c r="Q6" s="35" t="str">
        <x:v>No</x:v>
      </x:c>
      <x:c r="R6" s="35" t="str">
        <x:v>References [25], [37]</x:v>
      </x:c>
      <x:c r="S6" s="35" t="str">
        <x:v>R7</x:v>
      </x:c>
      <x:c r="T6" s="35" t="str">
        <x:v>Resolution package added 2026-07-18; see columns U:Z. Keep task open until the stated evidence/acceptance test is satisfied.</x:v>
      </x:c>
      <x:c r="U6" s="145" t="str">
        <x:v>Remove current [25] and [37]. Replace [25] with Al Hanai, Ghassemi and Glass, Interspeech 2018 (DOI 10.21437/Interspeech.2018-2522) where sequence-based depression modeling is discussed; use existing MAML [31] for the cold-start meta-learning statement instead of inventing a separate personalized-cognition citation.</x:v>
      </x:c>
      <x:c r="V6" s="146" t="str">
        <x:v>No authoritative record was located for either submitted title/author/venue combination. Keeping them creates avoidable integrity risk; the replacements directly support the narrower claims.</x:v>
      </x:c>
      <x:c r="W6" s="146" t="str">
        <x:v>Delete both bibliography entries, revise the depression-related-work sentence around the real Interspeech paper, and cite MAML [31] in Future Work. Renumber references automatically.</x:v>
      </x:c>
      <x:c r="X6" s="146" t="str">
        <x:v>We thank the reviewer for identifying these entries. Because we could not validate the submitted records in authoritative indexes, we removed them rather than speculate, and replaced only the claims that required support with verifiable sources.</x:v>
      </x:c>
      <x:c r="Y6" s="146" t="str">
        <x:v>Official ISCA record; MAML PMLR record; bibliography compile with no orphan citations.</x:v>
      </x:c>
      <x:c r="Z6" s="147" t="str">
        <x:v>Resolved by removal/replacement; manuscript edit pending</x:v>
      </x:c>
    </x:row>
    <x:row r="7" ht="150" customHeight="1">
      <x:c r="A7" s="37" t="str">
        <x:v>G0-03</x:v>
      </x:c>
      <x:c r="B7" s="39" t="str">
        <x:v>0. Integrity &amp; Ground Truth</x:v>
      </x:c>
      <x:c r="C7" s="35" t="str">
        <x:v>P0 Critical</x:v>
      </x:c>
      <x:c r="D7" s="35" t="str">
        <x:v>R2; R7</x:v>
      </x:c>
      <x:c r="E7" s="35" t="str">
        <x:v>Citation-to-claim mapping</x:v>
      </x:c>
      <x:c r="F7" s="35" t="str">
        <x:v>Re-evaluate reference [32] and the multi-timescale neuroscience claim</x:v>
      </x:c>
      <x:c r="G7" s="35" t="str">
        <x:v>Even if the paper exists, a real citation used for the wrong claim is still a scholarly accuracy problem.</x:v>
      </x:c>
      <x:c r="H7" s="35" t="str">
        <x:v>• Verify the paper's actual scope.
• Remove it from statements about multi-scale cognitive neurodynamics unless it directly supports them.
• Replace with a direct, authoritative multi-timescale cognition or neurodynamics source where needed.</x:v>
      </x:c>
      <x:c r="I7" s="35" t="str">
        <x:v>Every use of [32] accurately matches the source, or the reference is replaced.</x:v>
      </x:c>
      <x:c r="J7" s="35" t="str">
        <x:v>Revised related-work and design-rationale citations</x:v>
      </x:c>
      <x:c r="K7" s="35" t="str">
        <x:v>G0-01</x:v>
      </x:c>
      <x:c r="L7" s="35" t="str">
        <x:v>Aditya + Guide</x:v>
      </x:c>
      <x:c r="M7" s="35" t="str">
        <x:v>Week 1</x:v>
      </x:c>
      <x:c r="N7" s="35" t="str">
        <x:v>Not Started</x:v>
      </x:c>
      <x:c r="O7" s="41" t="n">
        <x:v>0</x:v>
      </x:c>
      <x:c r="P7" s="35" t="str">
        <x:v>Yes</x:v>
      </x:c>
      <x:c r="Q7" s="35" t="str">
        <x:v>No</x:v>
      </x:c>
      <x:c r="R7" s="35" t="str">
        <x:v>Sections II, III-A, VII-A</x:v>
      </x:c>
      <x:c r="S7" s="35" t="str">
        <x:v>R2/R7</x:v>
      </x:c>
      <x:c r="T7" s="35" t="str">
        <x:v>Resolution package added 2026-07-18; see columns U:Z. Keep task open until the stated evidence/acceptance test is satisfied.</x:v>
      </x:c>
      <x:c r="U7" s="148" t="str">
        <x:v>Remove current [32] and withdraw the EEG-band-to-smartphone-timescale argument. Use Honey et al., Neuron 2012 (DOI 10.1016/j.neuron.2012.10.011) only for the general existence of hierarchical temporal processing, not for the selected dilation values.</x:v>
      </x:c>
      <x:c r="V7" s="149" t="str">
        <x:v>The submitted record could not be verified, and even a valid memory-restoration biomarker paper would not justify minute-resolution phone features as theta/alpha dynamics. Dataset sampling, not EEG frequency, must determine realized temporal scope.</x:v>
      </x:c>
      <x:c r="W7" s="149" t="str">
        <x:v>Rewrite Sections II, III-A and VII-A as an engineering multi-resolution rationale. Report sampling interval and theoretical/realized receptive-field duration per dataset; describe schedules as fixed heuristics.</x:v>
      </x:c>
      <x:c r="X7" s="149" t="str">
        <x:v>We agree that the previous neuroscience grounding was too broad. We removed the disputed citation and the EEG-band mapping, and now justify each scale using the actual sampling and window structure of each dataset.</x:v>
      </x:c>
      <x:c r="Y7" s="149" t="str">
        <x:v>Replacement official record; receptive-field table; claim-to-citation audit.</x:v>
      </x:c>
      <x:c r="Z7" s="150" t="str">
        <x:v>Resolved conceptually; text and numbering update pending</x:v>
      </x:c>
    </x:row>
    <x:row r="8" ht="150" customHeight="1">
      <x:c r="A8" s="37" t="str">
        <x:v>G0-04</x:v>
      </x:c>
      <x:c r="B8" s="39" t="str">
        <x:v>0. Integrity &amp; Ground Truth</x:v>
      </x:c>
      <x:c r="C8" s="35" t="str">
        <x:v>P0 Critical</x:v>
      </x:c>
      <x:c r="D8" s="35" t="str">
        <x:v>R7</x:v>
      </x:c>
      <x:c r="E8" s="35" t="str">
        <x:v>Reference integrity</x:v>
      </x:c>
      <x:c r="F8" s="35" t="str">
        <x:v>Verify the StudentLife citation [1] against the official ACM record</x:v>
      </x:c>
      <x:c r="G8" s="35" t="str">
        <x:v>The reviewer alleges an authorship problem; the response must rely on the official record, not memory.</x:v>
      </x:c>
      <x:c r="H8" s="35" t="str">
        <x:v>• Verify authors, exact title, page range and DOI/ACM record.
• Correct any title or author-order variation.
• Respond politely with the official record if the submitted citation was already correct.</x:v>
      </x:c>
      <x:c r="I8" s="35" t="str">
        <x:v>Reference [1] exactly matches the official bibliographic record.</x:v>
      </x:c>
      <x:c r="J8" s="35" t="str">
        <x:v>Verified reference record + response text</x:v>
      </x:c>
      <x:c r="K8" s="35" t="str">
        <x:v>G0-01</x:v>
      </x:c>
      <x:c r="L8" s="35" t="str">
        <x:v>Aditya</x:v>
      </x:c>
      <x:c r="M8" s="35" t="str">
        <x:v>Week 1</x:v>
      </x:c>
      <x:c r="N8" s="35" t="str">
        <x:v>Not Started</x:v>
      </x:c>
      <x:c r="O8" s="41" t="n">
        <x:v>0</x:v>
      </x:c>
      <x:c r="P8" s="35" t="str">
        <x:v>Yes</x:v>
      </x:c>
      <x:c r="Q8" s="35" t="str">
        <x:v>No</x:v>
      </x:c>
      <x:c r="R8" s="35" t="str">
        <x:v>Reference [1]</x:v>
      </x:c>
      <x:c r="S8" s="35" t="str">
        <x:v>R7</x:v>
      </x:c>
      <x:c r="T8" s="35" t="str">
        <x:v>Resolution package added 2026-07-18; see columns U:Z. Keep task open until the stated evidence/acceptance test is satisfied.</x:v>
      </x:c>
      <x:c r="U8" s="145" t="str">
        <x:v>Retain StudentLife, but expand its metadata to the official ACM record (DOI 10.1145/2632048.2632054) and verify the full author list/order.</x:v>
      </x:c>
      <x:c r="V8" s="146" t="str">
        <x:v>The submitted short IEEE form beginning with Rui Wang, Fanglin Chen and Zhenyu Chen is consistent with the official record. The correct response is evidence-based clarification, not an unnecessary replacement.</x:v>
      </x:c>
      <x:c r="W8" s="146" t="str">
        <x:v>Update the .bib entry from the ACM export, including DOI, pages 3-14 and the complete author list; keep the in-text dataset claim limited to what StudentLife reports.</x:v>
      </x:c>
      <x:c r="X8" s="146" t="str">
        <x:v>Thank you for prompting verification. We checked the citation against the official ACM Digital Library record and updated the full metadata/DOI; the lead authors and paper identity are confirmed.</x:v>
      </x:c>
      <x:c r="Y8" s="146" t="str">
        <x:v>ACM DOI record and compiled bibliography entry.</x:v>
      </x:c>
      <x:c r="Z8" s="147" t="str">
        <x:v>Verified; final .bib import pending</x:v>
      </x:c>
    </x:row>
    <x:row r="9" ht="150" customHeight="1">
      <x:c r="A9" s="37" t="str">
        <x:v>G0-05</x:v>
      </x:c>
      <x:c r="B9" s="39" t="str">
        <x:v>0. Integrity &amp; Ground Truth</x:v>
      </x:c>
      <x:c r="C9" s="35" t="str">
        <x:v>P0 Critical</x:v>
      </x:c>
      <x:c r="D9" s="35" t="str">
        <x:v>R7; R3</x:v>
      </x:c>
      <x:c r="E9" s="35" t="str">
        <x:v>Claim audit</x:v>
      </x:c>
      <x:c r="F9" s="35" t="str">
        <x:v>Build a claim-to-citation matrix for every strong literature claim</x:v>
      </x:c>
      <x:c r="G9" s="35" t="str">
        <x:v>Correct references are not enough; each citation must actually support the sentence attached to it.</x:v>
      </x:c>
      <x:c r="H9" s="35" t="str">
        <x:v>• List every novelty, neuroscience, dataset, baseline and convergence claim.
• Map each claim to one or more verified references.
• Delete or soften claims without direct support.</x:v>
      </x:c>
      <x:c r="I9" s="35" t="str">
        <x:v>All strong external claims are mapped to verified sources; unsupported claims are removed or softened.</x:v>
      </x:c>
      <x:c r="J9" s="35" t="str">
        <x:v>Claim-to-citation matrix</x:v>
      </x:c>
      <x:c r="K9" s="35" t="str">
        <x:v>G0-01</x:v>
      </x:c>
      <x:c r="L9" s="35" t="str">
        <x:v>Aditya + Guide</x:v>
      </x:c>
      <x:c r="M9" s="35" t="str">
        <x:v>Week 1</x:v>
      </x:c>
      <x:c r="N9" s="35" t="str">
        <x:v>Not Started</x:v>
      </x:c>
      <x:c r="O9" s="41" t="n">
        <x:v>0</x:v>
      </x:c>
      <x:c r="P9" s="35" t="str">
        <x:v>Yes</x:v>
      </x:c>
      <x:c r="Q9" s="35" t="str">
        <x:v>No</x:v>
      </x:c>
      <x:c r="R9" s="35" t="str">
        <x:v>Entire manuscript</x:v>
      </x:c>
      <x:c r="S9" s="35" t="str">
        <x:v>R3/R7</x:v>
      </x:c>
      <x:c r="T9" s="35" t="str">
        <x:v>Resolution package added 2026-07-18; see columns U:Z. Keep task open until the stated evidence/acceptance test is satisfied.</x:v>
      </x:c>
      <x:c r="U9" s="148" t="str">
        <x:v>Apply a claim-strength rule: every external factual claim receives a direct source; unsupported superlatives or mechanistic claims are deleted or softened.</x:v>
      </x:c>
      <x:c r="V9" s="149" t="str">
        <x:v>The rejection was driven partly by citation-to-claim mismatch, not only malformed metadata. A sentence-level audit prevents a real paper being used for the wrong proposition.</x:v>
      </x:c>
      <x:c r="W9" s="149" t="str">
        <x:v>Create a claim matrix for novelty, neuroscience, datasets, theory and convergence. Replace 'first/guarantees/population-scale/near-linear' with bounded statements unless the final evidence explicitly meets the burden.</x:v>
      </x:c>
      <x:c r="X9" s="149" t="str">
        <x:v>We audited strong claims at sentence level and retained only claims directly supported by a verified source or new evidence. Unsupported or over-broad statements were removed.</x:v>
      </x:c>
      <x:c r="Y9" s="149" t="str">
        <x:v>Claim matrix; redlined manuscript; independent coauthor check.</x:v>
      </x:c>
      <x:c r="Z9" s="150" t="str">
        <x:v>Policy resolved; sentence-level application pending</x:v>
      </x:c>
    </x:row>
    <x:row r="10" ht="150" customHeight="1">
      <x:c r="A10" s="37" t="str">
        <x:v>G0-06</x:v>
      </x:c>
      <x:c r="B10" s="39" t="str">
        <x:v>0. Integrity &amp; Ground Truth</x:v>
      </x:c>
      <x:c r="C10" s="35" t="str">
        <x:v>P0 Critical</x:v>
      </x:c>
      <x:c r="D10" s="35" t="str">
        <x:v>R1; R6</x:v>
      </x:c>
      <x:c r="E10" s="35" t="str">
        <x:v>Results provenance</x:v>
      </x:c>
      <x:c r="F10" s="35" t="str">
        <x:v>Create a table-and-figure provenance map from raw logs</x:v>
      </x:c>
      <x:c r="G10" s="35" t="str">
        <x:v>Every reported value must be traceable to a specific run, seed, config and output file.</x:v>
      </x:c>
      <x:c r="H10" s="35" t="str">
        <x:v>• Map every number in Tables 2–5 and Figures 4–11 to a run ID and log path.
• Record dataset split, seed, commit hash and configuration.
• Re-run or remove values that cannot be reproduced.</x:v>
      </x:c>
      <x:c r="I10" s="35" t="str">
        <x:v>Every result cell and figure has a traceable run ID and reproducible source file.</x:v>
      </x:c>
      <x:c r="J10" s="35" t="str">
        <x:v>Results provenance workbook/log index</x:v>
      </x:c>
      <x:c r="K10" s="35" t="str"/>
      <x:c r="L10" s="35" t="str">
        <x:v>Aditya</x:v>
      </x:c>
      <x:c r="M10" s="35" t="str">
        <x:v>Week 1</x:v>
      </x:c>
      <x:c r="N10" s="35" t="str">
        <x:v>Not Started</x:v>
      </x:c>
      <x:c r="O10" s="41" t="n">
        <x:v>0</x:v>
      </x:c>
      <x:c r="P10" s="35" t="str">
        <x:v>Yes</x:v>
      </x:c>
      <x:c r="Q10" s="35" t="str">
        <x:v>No</x:v>
      </x:c>
      <x:c r="R10" s="35" t="str">
        <x:v>Tables 2–5; Figures 4–11</x:v>
      </x:c>
      <x:c r="S10" s="35" t="str">
        <x:v>R1/R6</x:v>
      </x:c>
      <x:c r="T10" s="35" t="str">
        <x:v>Resolution package added 2026-07-18; see columns U:Z. Keep task open until the stated evidence/acceptance test is satisfied.</x:v>
      </x:c>
      <x:c r="U10" s="145" t="str">
        <x:v>Do not carry any reported number into the resubmission unless it is mapped to a run ID, seed, split, configuration and raw output. Untraceable values must be rerun or removed.</x:v>
      </x:c>
      <x:c r="V10" s="146" t="str">
        <x:v>The PDF alone cannot prove provenance. This gate prevents a response letter from defending values that cannot be reproduced and addresses Reviewers 1 and 6 directly.</x:v>
      </x:c>
      <x:c r="W10" s="146" t="str">
        <x:v>Add a provenance appendix/table keyed to Tables 2-5 and Figures 4-11; store commit hash, environment, data manifest and plotting script for each artifact.</x:v>
      </x:c>
      <x:c r="X10" s="146" t="str">
        <x:v>We agree and have made result provenance an acceptance gate: every retained table cell and figure is traceable to a versioned run and configuration; values failing this check are not reported.</x:v>
      </x:c>
      <x:c r="Y10" s="146" t="str">
        <x:v>Raw logs, run manifest, commit tag and regenerated tables/figures.</x:v>
      </x:c>
      <x:c r="Z10" s="147" t="str">
        <x:v>Requires authors' code and raw logs; cannot be certified from the PDF</x:v>
      </x:c>
    </x:row>
    <x:row r="11" ht="150" customHeight="1">
      <x:c r="A11" s="37" t="str">
        <x:v>G0-07</x:v>
      </x:c>
      <x:c r="B11" s="39" t="str">
        <x:v>0. Integrity &amp; Ground Truth</x:v>
      </x:c>
      <x:c r="C11" s="35" t="str">
        <x:v>P0 Critical</x:v>
      </x:c>
      <x:c r="D11" s="35" t="str">
        <x:v>R1</x:v>
      </x:c>
      <x:c r="E11" s="35" t="str">
        <x:v>Results verification</x:v>
      </x:c>
      <x:c r="F11" s="35" t="str">
        <x:v>Resolve Reviewer 1's alleged 58.7 versus 68.7 mismatch correctly</x:v>
      </x:c>
      <x:c r="G11" s="35" t="str">
        <x:v>The submitted Table 2 shows 68.7, so this appears to be a reviewer reading/rendering issue, not a data discrepancy.</x:v>
      </x:c>
      <x:c r="H11" s="35" t="str">
        <x:v>• Confirm the source logs still produce 68.7 ± 2.3.
• Improve Table 2 resolution and typography.
• In the response, quote the exact row and explain that the manuscript text and table are consistent.</x:v>
      </x:c>
      <x:c r="I11" s="35" t="str">
        <x:v>The value is reproduced from logs and the response politely documents the table's actual value.</x:v>
      </x:c>
      <x:c r="J11" s="35" t="str">
        <x:v>Reproduced run + high-resolution table + rebuttal text</x:v>
      </x:c>
      <x:c r="K11" s="35" t="str">
        <x:v>G0-06</x:v>
      </x:c>
      <x:c r="L11" s="35" t="str">
        <x:v>Aditya</x:v>
      </x:c>
      <x:c r="M11" s="35" t="str">
        <x:v>Week 1</x:v>
      </x:c>
      <x:c r="N11" s="35" t="str">
        <x:v>Not Started</x:v>
      </x:c>
      <x:c r="O11" s="41" t="n">
        <x:v>0</x:v>
      </x:c>
      <x:c r="P11" s="35" t="str">
        <x:v>Yes</x:v>
      </x:c>
      <x:c r="Q11" s="35" t="str">
        <x:v>No</x:v>
      </x:c>
      <x:c r="R11" s="35" t="str">
        <x:v>Section V-A; Table 2</x:v>
      </x:c>
      <x:c r="S11" s="35" t="str">
        <x:v>R1</x:v>
      </x:c>
      <x:c r="T11" s="35" t="str">
        <x:v>Resolution package added 2026-07-18; see columns U:Z. Keep task open until the stated evidence/acceptance test is satisfied.</x:v>
      </x:c>
      <x:c r="U11" s="148" t="str">
        <x:v>Respectfully rebut the alleged 58.7/68.7 discrepancy: the submitted prose and Table 2 both show 68.7 ± 2.3 for DataParallel-LSTM. Still rerun/trace the value and improve table legibility.</x:v>
      </x:c>
      <x:c r="V11" s="149" t="str">
        <x:v>This is a factual reading issue visible in the submitted PDF, but the reviewer likely misread a dense table. A calm correction plus stronger provenance is more persuasive than treating it as a data error.</x:v>
      </x:c>
      <x:c r="W11" s="149" t="str">
        <x:v>Keep 68.7 ± 2.3 only if reproduced from logs; enlarge Table 2, use vector text, and explicitly identify the row in the response.</x:v>
      </x:c>
      <x:c r="X11" s="149" t="str">
        <x:v>Thank you for prompting this check. In the submitted manuscript, both the Results text and the DataParallel-LSTM row of Table 2 report 68.7 ± 2.3, not 58.7. We have nevertheless revalidated the value and improved the table rendering.</x:v>
      </x:c>
      <x:c r="Y11" s="149" t="str">
        <x:v>Submitted PDF page 11; raw run summary reproducing the mean/SD; revised vector table.</x:v>
      </x:c>
      <x:c r="Z11" s="150" t="str">
        <x:v>Factual response drafted; log-based verification pending</x:v>
      </x:c>
    </x:row>
    <x:row r="12" ht="150" customHeight="1">
      <x:c r="A12" s="37" t="str">
        <x:v>G0-08</x:v>
      </x:c>
      <x:c r="B12" s="39" t="str">
        <x:v>0. Integrity &amp; Ground Truth</x:v>
      </x:c>
      <x:c r="C12" s="35" t="str">
        <x:v>P0 Critical</x:v>
      </x:c>
      <x:c r="D12" s="35" t="str">
        <x:v>Editor</x:v>
      </x:c>
      <x:c r="E12" s="35" t="str">
        <x:v>Disclosure</x:v>
      </x:c>
      <x:c r="F12" s="35" t="str">
        <x:v>Reconfirm the generative-AI disclosure is literally accurate</x:v>
      </x:c>
      <x:c r="G12" s="35" t="str">
        <x:v>The final manuscript must accurately describe how AI tools were used, especially after the reference audit.</x:v>
      </x:c>
      <x:c r="H12" s="35" t="str">
        <x:v>• Document the actual use of AI tools in drafting, coding, analysis and editing.
• Align the disclosure with IEEE policy and the real workflow.
• Obtain coauthor approval of the final wording.</x:v>
      </x:c>
      <x:c r="I12" s="35" t="str">
        <x:v>The disclosure is factually accurate, policy-aligned and approved by all authors.</x:v>
      </x:c>
      <x:c r="J12" s="35" t="str">
        <x:v>Approved disclosure paragraph</x:v>
      </x:c>
      <x:c r="K12" s="35" t="str">
        <x:v>G0-01; G0-06</x:v>
      </x:c>
      <x:c r="L12" s="35" t="str">
        <x:v>Aditya + Guide</x:v>
      </x:c>
      <x:c r="M12" s="35" t="str">
        <x:v>Week 1</x:v>
      </x:c>
      <x:c r="N12" s="35" t="str">
        <x:v>Not Started</x:v>
      </x:c>
      <x:c r="O12" s="41" t="n">
        <x:v>0</x:v>
      </x:c>
      <x:c r="P12" s="35" t="str">
        <x:v>Yes</x:v>
      </x:c>
      <x:c r="Q12" s="35" t="str">
        <x:v>No</x:v>
      </x:c>
      <x:c r="R12" s="35" t="str">
        <x:v>Acknowledgment / disclosure</x:v>
      </x:c>
      <x:c r="S12" s="35" t="str">
        <x:v>Editor</x:v>
      </x:c>
      <x:c r="T12" s="35" t="str">
        <x:v>Resolution package added 2026-07-18; see columns U:Z. Keep task open until the stated evidence/acceptance test is satisfied.</x:v>
      </x:c>
      <x:c r="U12" s="145" t="str">
        <x:v>Use an accurate disclosure covering language editing and reviewer-response organization; do not claim that AI had no substantive role unless all authors can verify that literally.</x:v>
      </x:c>
      <x:c r="V12" s="146" t="str">
        <x:v>The revision itself uses AI-assisted organizational drafting. IEEE disclosure must describe actual use and make clear that authors independently verified references, equations, code, analyses and conclusions.</x:v>
      </x:c>
      <x:c r="W12" s="146" t="str">
        <x:v>Suggested wording: 'Generative-AI-assisted tools were used for language editing, consistency checks, and organization of reviewer-response materials. The authors independently verified and approved all technical content, citations, analyses, code, and conclusions and take full responsibility for the work.' Adapt to the real workflow.</x:v>
      </x:c>
      <x:c r="X12" s="146" t="str">
        <x:v>We updated the disclosure to reflect the actual scope of AI-assisted work and documented author verification and responsibility for all scientific content.</x:v>
      </x:c>
      <x:c r="Y12" s="146" t="str">
        <x:v>Final disclosure approved in writing by both authors and aligned with current IEEE policy.</x:v>
      </x:c>
      <x:c r="Z12" s="147" t="str">
        <x:v>Requires authors to confirm actual tool use before finalization</x:v>
      </x:c>
    </x:row>
    <x:row r="13" ht="150" customHeight="1">
      <x:c r="A13" s="37" t="str">
        <x:v>G0-09</x:v>
      </x:c>
      <x:c r="B13" s="39" t="str">
        <x:v>0. Integrity &amp; Ground Truth</x:v>
      </x:c>
      <x:c r="C13" s="35" t="str">
        <x:v>P0 Critical</x:v>
      </x:c>
      <x:c r="D13" s="35" t="str">
        <x:v>Editor; R3</x:v>
      </x:c>
      <x:c r="E13" s="35" t="str">
        <x:v>Reproducibility</x:v>
      </x:c>
      <x:c r="F13" s="35" t="str">
        <x:v>Freeze and archive the exact code, configs and data manifests used for revision</x:v>
      </x:c>
      <x:c r="G13" s="35" t="str">
        <x:v>A stable evidence package prevents silent changes while the response and manuscript are being updated.</x:v>
      </x:c>
      <x:c r="H13" s="35" t="str">
        <x:v>• Create a tagged Git commit for the revision.
• Save environment file, package versions, random seeds and data checksums.
• Archive raw logs and plotting scripts in a read-only folder.</x:v>
      </x:c>
      <x:c r="I13" s="35" t="str">
        <x:v>A tagged, checksum-backed revision archive can reproduce all reported outputs.</x:v>
      </x:c>
      <x:c r="J13" s="35" t="str">
        <x:v>Git tag + environment lockfile + data/log manifest</x:v>
      </x:c>
      <x:c r="K13" s="35" t="str">
        <x:v>G0-06</x:v>
      </x:c>
      <x:c r="L13" s="35" t="str">
        <x:v>Aditya</x:v>
      </x:c>
      <x:c r="M13" s="35" t="str">
        <x:v>Week 1</x:v>
      </x:c>
      <x:c r="N13" s="35" t="str">
        <x:v>Not Started</x:v>
      </x:c>
      <x:c r="O13" s="41" t="n">
        <x:v>0</x:v>
      </x:c>
      <x:c r="P13" s="35" t="str">
        <x:v>Yes</x:v>
      </x:c>
      <x:c r="Q13" s="35" t="str">
        <x:v>No</x:v>
      </x:c>
      <x:c r="R13" s="35" t="str">
        <x:v>Supplement / reproducibility</x:v>
      </x:c>
      <x:c r="S13" s="35" t="str">
        <x:v>R3</x:v>
      </x:c>
      <x:c r="T13" s="35" t="str">
        <x:v>Resolution package added 2026-07-18; see columns U:Z. Keep task open until the stated evidence/acceptance test is satisfied.</x:v>
      </x:c>
      <x:c r="U13" s="148" t="str">
        <x:v>Create one immutable revision tag and manifest before reruns; all new results must point to it or a documented successor tag.</x:v>
      </x:c>
      <x:c r="V13" s="149" t="str">
        <x:v>Without a frozen environment, changes to code, data splits or plotting can silently invalidate the response and provenance map.</x:v>
      </x:c>
      <x:c r="W13" s="149" t="str">
        <x:v>Archive code, dependency lock, seeds, data checksums, configs, logs and plotting scripts; record the tag in the supplement.</x:v>
      </x:c>
      <x:c r="X13" s="149" t="str">
        <x:v>We created a versioned reproducibility package and linked every retained result to an exact configuration and run record.</x:v>
      </x:c>
      <x:c r="Y13" s="149" t="str">
        <x:v>Git tag, lockfile, checksum manifest and reproduction command.</x:v>
      </x:c>
      <x:c r="Z13" s="150" t="str">
        <x:v>Implementation pending in authors' repository</x:v>
      </x:c>
    </x:row>
    <x:row r="14" ht="150" customHeight="1">
      <x:c r="A14" s="37" t="str">
        <x:v>G0-10</x:v>
      </x:c>
      <x:c r="B14" s="39" t="str">
        <x:v>0. Integrity &amp; Ground Truth</x:v>
      </x:c>
      <x:c r="C14" s="35" t="str">
        <x:v>P0 Critical</x:v>
      </x:c>
      <x:c r="D14" s="35" t="str">
        <x:v>Editor</x:v>
      </x:c>
      <x:c r="E14" s="35" t="str">
        <x:v>Governance</x:v>
      </x:c>
      <x:c r="F14" s="35" t="str">
        <x:v>Conduct a coauthor integrity sign-off before technical revision proceeds</x:v>
      </x:c>
      <x:c r="G14" s="35" t="str">
        <x:v>Both authors should agree that references, results and disclosures are accurate before investing in new experiments.</x:v>
      </x:c>
      <x:c r="H14" s="35" t="str">
        <x:v>• Review the completed reference and result audits together.
• Document unresolved items and owners.
• Record written approval to proceed.</x:v>
      </x:c>
      <x:c r="I14" s="35" t="str">
        <x:v>Guide/coauthor signs off on the integrity gate with no unresolved P0 issue.</x:v>
      </x:c>
      <x:c r="J14" s="35" t="str">
        <x:v>Signed internal checklist</x:v>
      </x:c>
      <x:c r="K14" s="35" t="str">
        <x:v>G0-01:G0-09</x:v>
      </x:c>
      <x:c r="L14" s="35" t="str">
        <x:v>Guide</x:v>
      </x:c>
      <x:c r="M14" s="35" t="str">
        <x:v>Week 1</x:v>
      </x:c>
      <x:c r="N14" s="35" t="str">
        <x:v>Not Started</x:v>
      </x:c>
      <x:c r="O14" s="41" t="n">
        <x:v>0</x:v>
      </x:c>
      <x:c r="P14" s="35" t="str">
        <x:v>Yes</x:v>
      </x:c>
      <x:c r="Q14" s="35" t="str">
        <x:v>No</x:v>
      </x:c>
      <x:c r="R14" s="35" t="str">
        <x:v>Internal</x:v>
      </x:c>
      <x:c r="S14" s="35" t="str">
        <x:v>Editor</x:v>
      </x:c>
      <x:c r="T14" s="35" t="str">
        <x:v>Resolution package added 2026-07-18; see columns U:Z. Keep task open until the stated evidence/acceptance test is satisfied.</x:v>
      </x:c>
      <x:c r="U14" s="145" t="str">
        <x:v>Require a written coauthor sign-off after reference and result audits, before treating the manuscript as scientifically ready.</x:v>
      </x:c>
      <x:c r="V14" s="146" t="str">
        <x:v>Reference integrity, scope reduction and theorem removal materially change the paper's identity and cannot be approved implicitly.</x:v>
      </x:c>
      <x:c r="W14" s="146" t="str">
        <x:v>Add a dated integrity checklist covering citations, results, AI disclosure, title/scope and withdrawn claims.</x:v>
      </x:c>
      <x:c r="X14" s="146" t="str">
        <x:v>Both authors reviewed the audit outcomes and approved the revised scope and integrity corrections before resubmission.</x:v>
      </x:c>
      <x:c r="Y14" s="146" t="str">
        <x:v>Signed checklist or approval email retained in the submission archive.</x:v>
      </x:c>
      <x:c r="Z14" s="147" t="str">
        <x:v>Governance step pending</x:v>
      </x:c>
    </x:row>
    <x:row r="15" ht="150" customHeight="1">
      <x:c r="A15" s="37" t="str">
        <x:v>D1-01</x:v>
      </x:c>
      <x:c r="B15" s="39" t="str">
        <x:v>1. Scope &amp; Core-Claim Decisions</x:v>
      </x:c>
      <x:c r="C15" s="35" t="str">
        <x:v>P0 Critical</x:v>
      </x:c>
      <x:c r="D15" s="35" t="str">
        <x:v>R2; R3; R6</x:v>
      </x:c>
      <x:c r="E15" s="35" t="str">
        <x:v>Scope decision</x:v>
      </x:c>
      <x:c r="F15" s="35" t="str">
        <x:v>Decide: obtain true multi-node results or reframe as single-server multi-GPU</x:v>
      </x:c>
      <x:c r="G15" s="35" t="str">
        <x:v>Bandwidth throttling on one NVLink server does not validate physical multi-node behavior.</x:v>
      </x:c>
      <x:c r="H15" s="35" t="str">
        <x:v>• Option A: run on at least 2–4 physical hosts and report NIC, topology, RTT, bandwidth and variance.
• Option B: explicitly reframe the contribution as branch-parallel multi-GPU execution and remove physical-cluster claims.
• Record the decision before rewriting the title or abstract.</x:v>
      </x:c>
      <x:c r="I15" s="35" t="str">
        <x:v>A written scope decision is approved by the guide and reflected consistently across the manuscript.</x:v>
      </x:c>
      <x:c r="J15" s="35" t="str">
        <x:v>Decision Log entry + approved scope statement</x:v>
      </x:c>
      <x:c r="K15" s="35" t="str"/>
      <x:c r="L15" s="35" t="str">
        <x:v>Aditya + Guide</x:v>
      </x:c>
      <x:c r="M15" s="35" t="str">
        <x:v>Week 1</x:v>
      </x:c>
      <x:c r="N15" s="35" t="str">
        <x:v>Not Started</x:v>
      </x:c>
      <x:c r="O15" s="41" t="n">
        <x:v>0</x:v>
      </x:c>
      <x:c r="P15" s="35" t="str">
        <x:v>Yes</x:v>
      </x:c>
      <x:c r="Q15" s="35" t="str">
        <x:v>Yes</x:v>
      </x:c>
      <x:c r="R15" s="35" t="str">
        <x:v>Title; Abstract; Sections I, IV-E, V, VIII, IX</x:v>
      </x:c>
      <x:c r="S15" s="35" t="str">
        <x:v>R2/R3/R6</x:v>
      </x:c>
      <x:c r="T15" s="35" t="str">
        <x:v>Resolution package added 2026-07-18; see columns U:Z. Keep task open until the stated evidence/acceptance test is satisfied.</x:v>
      </x:c>
      <x:c r="U15" s="148" t="str">
        <x:v>Choose Option B: reframe the work as single-server branch-parallel multi-GPU execution. Remove physical multi-node/cluster validation claims.</x:v>
      </x:c>
      <x:c r="V15" s="149" t="str">
        <x:v>All submitted scalability experiments used one eight-GPU A100 SXM4 server with NVLink and traffic shaping. That cannot establish behavior across physical hosts, NICs, switches, NUMA domains or real network contention.</x:v>
      </x:c>
      <x:c r="W15" s="149" t="str">
        <x:v>Replace 'node' with 'GPU worker' where accurate; state the exact single-server topology; remove claims of physical distributed scalability and treat network emulation only as sensitivity analysis.</x:v>
      </x:c>
      <x:c r="X15" s="149" t="str">
        <x:v>We agree that the submitted setup does not constitute physical multi-node validation. We have narrowed the systems contribution to branch-parallel multi-GPU execution on a single server and removed cluster-scale claims.</x:v>
      </x:c>
      <x:c r="Y15" s="149" t="str">
        <x:v>Terminology audit; revised hardware section; removal/relabeling of multi-node tables and figures.</x:v>
      </x:c>
      <x:c r="Z15" s="150" t="str">
        <x:v>Final decision closed; manuscript-wide implementation pending</x:v>
      </x:c>
    </x:row>
    <x:row r="16" ht="150" customHeight="1">
      <x:c r="A16" s="37" t="str">
        <x:v>D1-02</x:v>
      </x:c>
      <x:c r="B16" s="39" t="str">
        <x:v>1. Scope &amp; Core-Claim Decisions</x:v>
      </x:c>
      <x:c r="C16" s="35" t="str">
        <x:v>P0 Critical</x:v>
      </x:c>
      <x:c r="D16" s="35" t="str">
        <x:v>R2; R3; R6</x:v>
      </x:c>
      <x:c r="E16" s="35" t="str">
        <x:v>Motivation decision</x:v>
      </x:c>
      <x:c r="F16" s="35" t="str">
        <x:v>Decide how to address the small-dataset versus population-scale mismatch</x:v>
      </x:c>
      <x:c r="G16" s="35" t="str">
        <x:v>StudentLife and DAIC-WOZ do not themselves demonstrate a need for population-scale distributed training.</x:v>
      </x:c>
      <x:c r="H16" s="35" t="str">
        <x:v>• Add honest synthetic or replicated longitudinal workloads for scaling analysis, or
• Remove 'thousands of participants' and population-scale validation language.
• Separate modeling validation from systems scalability validation.</x:v>
      </x:c>
      <x:c r="I16" s="35" t="str">
        <x:v>The motivation and evidence are aligned without overstating what the datasets prove.</x:v>
      </x:c>
      <x:c r="J16" s="35" t="str">
        <x:v>Approved revised motivation + experiment plan</x:v>
      </x:c>
      <x:c r="K16" s="35" t="str">
        <x:v>D1-01</x:v>
      </x:c>
      <x:c r="L16" s="35" t="str">
        <x:v>Aditya + Guide</x:v>
      </x:c>
      <x:c r="M16" s="35" t="str">
        <x:v>Week 1</x:v>
      </x:c>
      <x:c r="N16" s="35" t="str">
        <x:v>Not Started</x:v>
      </x:c>
      <x:c r="O16" s="41" t="n">
        <x:v>0</x:v>
      </x:c>
      <x:c r="P16" s="35" t="str">
        <x:v>Yes</x:v>
      </x:c>
      <x:c r="Q16" s="35" t="str">
        <x:v>Yes</x:v>
      </x:c>
      <x:c r="R16" s="35" t="str">
        <x:v>Introduction; Limitations; Conclusion</x:v>
      </x:c>
      <x:c r="S16" s="35" t="str">
        <x:v>R2/R3/R6</x:v>
      </x:c>
      <x:c r="T16" s="35" t="str">
        <x:v>Resolution package added 2026-07-18; see columns U:Z. Keep task open until the stated evidence/acceptance test is satisfied.</x:v>
      </x:c>
      <x:c r="U16" s="145" t="str">
        <x:v>Remove 'thousands of participants' and population-scale validation language. Separate predictive modeling evidence from optional systems stress tests.</x:v>
      </x:c>
      <x:c r="V16" s="146" t="str">
        <x:v>StudentLife (48 subjects) and DAIC-WOZ (189 sessions, with smaller labeled public partitions) do not empirically demonstrate population-scale demand or validity.</x:v>
      </x:c>
      <x:c r="W16" s="146" t="str">
        <x:v>Reframe motivation around computational efficiency for multi-resolution longitudinal modeling; move population-scale deployment to future work and do not imply it was evaluated.</x:v>
      </x:c>
      <x:c r="X16" s="146" t="str">
        <x:v>We agree that the public datasets do not validate population-scale operation. We removed those claims and now distinguish modeling evaluation from future large-cohort systems validation.</x:v>
      </x:c>
      <x:c r="Y16" s="146" t="str">
        <x:v>Search audit for 'thousands', 'population-scale', 'large cohort' and equivalent claims.</x:v>
      </x:c>
      <x:c r="Z16" s="147" t="str">
        <x:v>Final decision closed</x:v>
      </x:c>
    </x:row>
    <x:row r="17" ht="150" customHeight="1">
      <x:c r="A17" s="37" t="str">
        <x:v>D1-03</x:v>
      </x:c>
      <x:c r="B17" s="39" t="str">
        <x:v>1. Scope &amp; Core-Claim Decisions</x:v>
      </x:c>
      <x:c r="C17" s="35" t="str">
        <x:v>P0 Critical</x:v>
      </x:c>
      <x:c r="D17" s="35" t="str">
        <x:v>R1; R2; R6</x:v>
      </x:c>
      <x:c r="E17" s="35" t="str">
        <x:v>Core premise</x:v>
      </x:c>
      <x:c r="F17" s="35" t="str">
        <x:v>Formally validate whether standard DDP inherently violates temporal causality in this setup</x:v>
      </x:c>
      <x:c r="G17" s="35" t="str">
        <x:v>Causal ordering inside a complete sequence is not automatically violated merely because gradients from different samples are aggregated.</x:v>
      </x:c>
      <x:c r="H17" s="35" t="str">
        <x:v>• Define the exact sample unit, windowing, state carry-over and asynchronous update process.
• Identify the mechanism by which DDP would create causal inconsistency.
• Design controlled experiments that isolate this mechanism from batch size, sampler, learning-rate and seed effects.</x:v>
      </x:c>
      <x:c r="I17" s="35" t="str">
        <x:v>The paper either proves and experimentally isolates a specific causality failure mode, or removes the general claim.</x:v>
      </x:c>
      <x:c r="J17" s="35" t="str">
        <x:v>Formal problem definition + controlled experiment specification</x:v>
      </x:c>
      <x:c r="K17" s="35" t="str"/>
      <x:c r="L17" s="35" t="str">
        <x:v>Aditya + Guide + Distributed-systems reviewer</x:v>
      </x:c>
      <x:c r="M17" s="35" t="str">
        <x:v>Week 1–2</x:v>
      </x:c>
      <x:c r="N17" s="35" t="str">
        <x:v>Not Started</x:v>
      </x:c>
      <x:c r="O17" s="41" t="n">
        <x:v>0</x:v>
      </x:c>
      <x:c r="P17" s="35" t="str">
        <x:v>Yes</x:v>
      </x:c>
      <x:c r="Q17" s="35" t="str">
        <x:v>Yes</x:v>
      </x:c>
      <x:c r="R17" s="35" t="str">
        <x:v>Sections I-B, II-C, III-D, VII-C</x:v>
      </x:c>
      <x:c r="S17" s="35" t="str">
        <x:v>R1/R2/R6</x:v>
      </x:c>
      <x:c r="T17" s="35" t="str">
        <x:v>Resolution package added 2026-07-18; see columns U:Z. Keep task open until the stated evidence/acceptance test is satisfied.</x:v>
      </x:c>
      <x:c r="U17" s="148" t="str">
        <x:v>Remove the broad assertion that standard DDP inherently violates temporal causality. Retain only a testable hypothesis for explicitly defined stateful/overlapping/asynchronous sequence settings, subject to controlled experiments.</x:v>
      </x:c>
      <x:c r="V17" s="149" t="str">
        <x:v>Averaging gradients from different time windows does not by itself violate causal ordering when each example is processed causally. The observed 1.1-point difference can be caused by batch size, sampler, learning-rate or split effects.</x:v>
      </x:c>
      <x:c r="W17" s="149" t="str">
        <x:v>Rewrite the problem statement to define sample unit, hidden-state carryover, overlap and update ordering. Attribute any degradation only after matched controls; otherwise report it as an observation without causal mechanism.</x:v>
      </x:c>
      <x:c r="X17" s="149" t="str">
        <x:v>We agree that the previous statement overgeneralized DDP behavior. We now define the limited conditions under investigation and no longer claim that data-parallel aggregation is inherently causally invalid.</x:v>
      </x:c>
      <x:c r="Y17" s="149" t="str">
        <x:v>Controlled experiment EX-01; matched effective batch/LR/sampler; revised formal definition.</x:v>
      </x:c>
      <x:c r="Z17" s="150" t="str">
        <x:v>Claim resolved by narrowing; empirical mechanism test pending</x:v>
      </x:c>
    </x:row>
    <x:row r="18" ht="150" customHeight="1">
      <x:c r="A18" s="37" t="str">
        <x:v>D1-04</x:v>
      </x:c>
      <x:c r="B18" s="39" t="str">
        <x:v>1. Scope &amp; Core-Claim Decisions</x:v>
      </x:c>
      <x:c r="C18" s="35" t="str">
        <x:v>P0 Critical</x:v>
      </x:c>
      <x:c r="D18" s="35" t="str">
        <x:v>R1; R2</x:v>
      </x:c>
      <x:c r="E18" s="35" t="str">
        <x:v>Theory decision</x:v>
      </x:c>
      <x:c r="F18" s="35" t="str">
        <x:v>Decide whether Theorem 1 is retained, replaced or removed</x:v>
      </x:c>
      <x:c r="G18" s="35" t="str">
        <x:v>The current proof sketch does not establish convergence of a causally masked, biased gradient estimator.</x:v>
      </x:c>
      <x:c r="H18" s="35" t="str">
        <x:v>• Retain only if a mathematically valid bounded-bias/asynchronous proof is completed and independently reviewed.
• Otherwise replace the theorem with a proposition that states an operational staleness bound, without a convergence claim.
• Ensure the empirical evidence matches the reduced claim.</x:v>
      </x:c>
      <x:c r="I18" s="35" t="str">
        <x:v>The theorem status is approved by a qualified reviewer and reflected consistently in text, algorithm and response.</x:v>
      </x:c>
      <x:c r="J18" s="35" t="str">
        <x:v>Decision Log entry + proof/replacement outline</x:v>
      </x:c>
      <x:c r="K18" s="35" t="str">
        <x:v>D1-03</x:v>
      </x:c>
      <x:c r="L18" s="35" t="str">
        <x:v>Aditya + Guide + Math reviewer</x:v>
      </x:c>
      <x:c r="M18" s="35" t="str">
        <x:v>Week 1–2</x:v>
      </x:c>
      <x:c r="N18" s="35" t="str">
        <x:v>Not Started</x:v>
      </x:c>
      <x:c r="O18" s="41" t="n">
        <x:v>0</x:v>
      </x:c>
      <x:c r="P18" s="35" t="str">
        <x:v>Yes</x:v>
      </x:c>
      <x:c r="Q18" s="35" t="str">
        <x:v>Yes</x:v>
      </x:c>
      <x:c r="R18" s="35" t="str">
        <x:v>Section III-D; Appendix</x:v>
      </x:c>
      <x:c r="S18" s="35" t="str">
        <x:v>R1/R2</x:v>
      </x:c>
      <x:c r="T18" s="35" t="str">
        <x:v>Resolution package added 2026-07-18; see columns U:Z. Keep task open until the stated evidence/acceptance test is satisfied.</x:v>
      </x:c>
      <x:c r="U18" s="145" t="str">
        <x:v>Remove Theorem 1 and the convergence guarantee. Replace it with an operational invariant: branch version lag is capped by δ_max under the stated counter and synchronization rules.</x:v>
      </x:c>
      <x:c r="V18" s="146" t="str">
        <x:v>The proof sketch bounds parameter distance under strong assumptions but does not establish convergence for a biased masked gradient estimator or the interaction of HOLD and periodic synchronization. Keeping it risks immediate re-rejection.</x:v>
      </x:c>
      <x:c r="W18" s="146" t="str">
        <x:v>Delete theorem language, Eq. 13's convergence implication and reliance on Lian et al. for this estimator. Present a proposition/implementation invariant without claiming optimization convergence.</x:v>
      </x:c>
      <x:c r="X18" s="146" t="str">
        <x:v>We agree that the prior proof did not justify the stated convergence guarantee. We removed the theorem and now state only the directly enforceable bounded-version-lag property of the implementation.</x:v>
      </x:c>
      <x:c r="Y18" s="146" t="str">
        <x:v>Revised algorithm semantics; counter unit tests; no 'convergence guarantee' remaining in PDF.</x:v>
      </x:c>
      <x:c r="Z18" s="147" t="str">
        <x:v>Final decision closed</x:v>
      </x:c>
    </x:row>
    <x:row r="19" ht="150" customHeight="1">
      <x:c r="A19" s="37" t="str">
        <x:v>D1-05</x:v>
      </x:c>
      <x:c r="B19" s="39" t="str">
        <x:v>1. Scope &amp; Core-Claim Decisions</x:v>
      </x:c>
      <x:c r="C19" s="35" t="str">
        <x:v>P1 Major</x:v>
      </x:c>
      <x:c r="D19" s="35" t="str">
        <x:v>R3</x:v>
      </x:c>
      <x:c r="E19" s="35" t="str">
        <x:v>Novelty decision</x:v>
      </x:c>
      <x:c r="F19" s="35" t="str">
        <x:v>Define the single strongest methodological novelty</x:v>
      </x:c>
      <x:c r="G19" s="35" t="str">
        <x:v>The paper currently reads as a combination of known components unless the new mechanism is isolated precisely.</x:v>
      </x:c>
      <x:c r="H19" s="35" t="str">
        <x:v>• Name the closest methods and state the exact technical difference.
• Separate architectural novelty, systems novelty and application novelty.
• Avoid claiming novelty merely because components are combined.</x:v>
      </x:c>
      <x:c r="I19" s="35" t="str">
        <x:v>A 3–5 sentence novelty statement survives comparison with the closest prior work.</x:v>
      </x:c>
      <x:c r="J19" s="35" t="str">
        <x:v>Approved novelty statement + comparison table outline</x:v>
      </x:c>
      <x:c r="K19" s="35" t="str">
        <x:v>D1-01; D1-03; D1-04</x:v>
      </x:c>
      <x:c r="L19" s="35" t="str">
        <x:v>Aditya + Guide</x:v>
      </x:c>
      <x:c r="M19" s="35" t="str">
        <x:v>Week 2</x:v>
      </x:c>
      <x:c r="N19" s="35" t="str">
        <x:v>Not Started</x:v>
      </x:c>
      <x:c r="O19" s="41" t="n">
        <x:v>0</x:v>
      </x:c>
      <x:c r="P19" s="35" t="str">
        <x:v>Yes</x:v>
      </x:c>
      <x:c r="Q19" s="35" t="str">
        <x:v>Yes</x:v>
      </x:c>
      <x:c r="R19" s="35" t="str">
        <x:v>Introduction; Related Work; Contributions</x:v>
      </x:c>
      <x:c r="S19" s="35" t="str">
        <x:v>R3</x:v>
      </x:c>
      <x:c r="T19" s="35" t="str">
        <x:v>Resolution package added 2026-07-18; see columns U:Z. Keep task open until the stated evidence/acceptance test is satisfied.</x:v>
      </x:c>
      <x:c r="U19" s="148" t="str">
        <x:v>Define the primary novelty as the co-designed multi-scale temporal architecture plus branch-parallel execution mapping; treat FiLM, dilated TCNs, attention and standard synchronization as established components.</x:v>
      </x:c>
      <x:c r="V19" s="149" t="str">
        <x:v>The individual building blocks are known. Novelty is defensible only in the precise composition, mapping and validated behavior, not from calling each component new.</x:v>
      </x:c>
      <x:c r="W19" s="149" t="str">
        <x:v>Add a closest-method table and a one-sentence novelty boundary; remove claims that CSAG/FiLM/dilations are independently novel.</x:v>
      </x:c>
      <x:c r="X19" s="149" t="str">
        <x:v>We clarified that the contribution is the specific architecture-and-execution co-design and no longer imply novelty for established constituent mechanisms.</x:v>
      </x:c>
      <x:c r="Y19" s="149" t="str">
        <x:v>Related-work comparison table and contribution-to-evidence mapping.</x:v>
      </x:c>
      <x:c r="Z19" s="150" t="str">
        <x:v>Final positioning decision closed</x:v>
      </x:c>
    </x:row>
    <x:row r="20" ht="150" customHeight="1">
      <x:c r="A20" s="37" t="str">
        <x:v>D1-06</x:v>
      </x:c>
      <x:c r="B20" s="39" t="str">
        <x:v>1. Scope &amp; Core-Claim Decisions</x:v>
      </x:c>
      <x:c r="C20" s="35" t="str">
        <x:v>P1 Major</x:v>
      </x:c>
      <x:c r="D20" s="35" t="str">
        <x:v>R3</x:v>
      </x:c>
      <x:c r="E20" s="35" t="str">
        <x:v>Title decision</x:v>
      </x:c>
      <x:c r="F20" s="35" t="str">
        <x:v>Select a title that matches the final evidence</x:v>
      </x:c>
      <x:c r="G20" s="35" t="str">
        <x:v>The current title implies distributed scalability beyond what a single-server experiment establishes.</x:v>
      </x:c>
      <x:c r="H20" s="35" t="str">
        <x:v>• Prepare title options for both scope outcomes.
• Avoid 'scalable' or 'distributed' if the evidence is limited to one host.
• Obtain guide approval after D1-01 through D1-05 are closed.</x:v>
      </x:c>
      <x:c r="I20" s="35" t="str">
        <x:v>Final title makes no claim that the revised experiments do not support.</x:v>
      </x:c>
      <x:c r="J20" s="35" t="str">
        <x:v>Approved title</x:v>
      </x:c>
      <x:c r="K20" s="35" t="str">
        <x:v>D1-01:D1-05</x:v>
      </x:c>
      <x:c r="L20" s="35" t="str">
        <x:v>Aditya + Guide</x:v>
      </x:c>
      <x:c r="M20" s="35" t="str">
        <x:v>Week 2</x:v>
      </x:c>
      <x:c r="N20" s="35" t="str">
        <x:v>Not Started</x:v>
      </x:c>
      <x:c r="O20" s="41" t="n">
        <x:v>0</x:v>
      </x:c>
      <x:c r="P20" s="35" t="str">
        <x:v>No</x:v>
      </x:c>
      <x:c r="Q20" s="35" t="str">
        <x:v>Yes</x:v>
      </x:c>
      <x:c r="R20" s="35" t="str">
        <x:v>Title</x:v>
      </x:c>
      <x:c r="S20" s="35" t="str">
        <x:v>R3</x:v>
      </x:c>
      <x:c r="T20" s="35" t="str">
        <x:v>Resolution package added 2026-07-18; see columns U:Z. Keep task open until the stated evidence/acceptance test is satisfied.</x:v>
      </x:c>
      <x:c r="U20" s="145" t="str">
        <x:v>Use the scope-matched title: 'A Multi-Scale Temporal Convolutional Network for Cognitive State Modeling with Branch-Parallel Multi-GPU Execution'.</x:v>
      </x:c>
      <x:c r="V20" s="146" t="str">
        <x:v>The title preserves the architecture and execution contribution while avoiding unsupported claims of physical distribution, population scale or general scalability.</x:v>
      </x:c>
      <x:c r="W20" s="146" t="str">
        <x:v>Replace the title in source, metadata, running headers, response document and portal. Rename the acronym only if the authors can update code/figures consistently; otherwise define D-MSTCN historically and avoid expanding 'D' as physical distribution.</x:v>
      </x:c>
      <x:c r="X20" s="146" t="str">
        <x:v>We revised the title to match the actual single-server multi-GPU evidence and removed the previous broad distributed-scalability implication.</x:v>
      </x:c>
      <x:c r="Y20" s="146" t="str">
        <x:v>Exact title identical across PDF, source and portal.</x:v>
      </x:c>
      <x:c r="Z20" s="147" t="str">
        <x:v>Final title decision closed</x:v>
      </x:c>
    </x:row>
    <x:row r="21" ht="150" customHeight="1">
      <x:c r="A21" s="37" t="str">
        <x:v>D1-07</x:v>
      </x:c>
      <x:c r="B21" s="39" t="str">
        <x:v>1. Scope &amp; Core-Claim Decisions</x:v>
      </x:c>
      <x:c r="C21" s="35" t="str">
        <x:v>P1 Major</x:v>
      </x:c>
      <x:c r="D21" s="35" t="str">
        <x:v>R2; R3</x:v>
      </x:c>
      <x:c r="E21" s="35" t="str">
        <x:v>Claims policy</x:v>
      </x:c>
      <x:c r="F21" s="35" t="str">
        <x:v>Create a manuscript-wide claim-strength policy</x:v>
      </x:c>
      <x:c r="G21" s="35" t="str">
        <x:v>Statements such as 'first', 'guarantees', 'near-linear' and 'population-scale' carry a high evidence burden.</x:v>
      </x:c>
      <x:c r="H21" s="35" t="str">
        <x:v>• List all strong claim words.
• Define evidence required to retain each one.
• Replace unsupported claims with measured, bounded statements.</x:v>
      </x:c>
      <x:c r="I21" s="35" t="str">
        <x:v>No strong claim remains without a corresponding proof, experiment or authoritative literature basis.</x:v>
      </x:c>
      <x:c r="J21" s="35" t="str">
        <x:v>Claim audit checklist</x:v>
      </x:c>
      <x:c r="K21" s="35" t="str">
        <x:v>D1-01:D1-05</x:v>
      </x:c>
      <x:c r="L21" s="35" t="str">
        <x:v>Aditya</x:v>
      </x:c>
      <x:c r="M21" s="35" t="str">
        <x:v>Week 2</x:v>
      </x:c>
      <x:c r="N21" s="35" t="str">
        <x:v>Not Started</x:v>
      </x:c>
      <x:c r="O21" s="41" t="n">
        <x:v>0</x:v>
      </x:c>
      <x:c r="P21" s="35" t="str">
        <x:v>No</x:v>
      </x:c>
      <x:c r="Q21" s="35" t="str">
        <x:v>No</x:v>
      </x:c>
      <x:c r="R21" s="35" t="str">
        <x:v>Entire manuscript</x:v>
      </x:c>
      <x:c r="S21" s="35" t="str">
        <x:v>R2/R3</x:v>
      </x:c>
      <x:c r="T21" s="35" t="str">
        <x:v>Resolution package added 2026-07-18; see columns U:Z. Keep task open until the stated evidence/acceptance test is satisfied.</x:v>
      </x:c>
      <x:c r="U21" s="148" t="str">
        <x:v>Ban unqualified 'first', 'guarantees', 'near-linear', 'population-scale', 'distributed nodes' and causal-mechanism wording unless directly supported after reruns.</x:v>
      </x:c>
      <x:c r="V21" s="149" t="str">
        <x:v>These phrases exceed the current evidence and were repeatedly challenged across reviews. Bounded, measured statements are both more accurate and easier to defend.</x:v>
      </x:c>
      <x:c r="W21" s="149" t="str">
        <x:v>Use terms such as 'in our single-server eight-GPU setup', 'observed', 'version-lag cap', and 'branch-parallel speedup'; report confidence intervals with every headline comparison.</x:v>
      </x:c>
      <x:c r="X21" s="149" t="str">
        <x:v>We performed a manuscript-wide claim-strength audit and replaced broad or absolute language with statements bounded to the evaluated setup and evidence.</x:v>
      </x:c>
      <x:c r="Y21" s="149" t="str">
        <x:v>Keyword search log and coauthor review of every retained strong claim.</x:v>
      </x:c>
      <x:c r="Z21" s="150" t="str">
        <x:v>Policy closed; manuscript application pending</x:v>
      </x:c>
    </x:row>
    <x:row r="22" ht="150" customHeight="1">
      <x:c r="A22" s="37" t="str">
        <x:v>D1-08</x:v>
      </x:c>
      <x:c r="B22" s="39" t="str">
        <x:v>1. Scope &amp; Core-Claim Decisions</x:v>
      </x:c>
      <x:c r="C22" s="35" t="str">
        <x:v>P0 Critical</x:v>
      </x:c>
      <x:c r="D22" s="35" t="str">
        <x:v>Editor</x:v>
      </x:c>
      <x:c r="E22" s="35" t="str">
        <x:v>Approval gate</x:v>
      </x:c>
      <x:c r="F22" s="35" t="str">
        <x:v>Obtain guide approval on the revised paper identity before new writing</x:v>
      </x:c>
      <x:c r="G22" s="35" t="str">
        <x:v>Editing before the core decisions are settled creates contradictory versions and wasted work.</x:v>
      </x:c>
      <x:c r="H22" s="35" t="str">
        <x:v>• Review D1-01 through D1-07 with the guide.
• Record selected options and rejected alternatives.
• Lock the scope for the remainder of the revision.</x:v>
      </x:c>
      <x:c r="I22" s="35" t="str">
        <x:v>Guide marks all structural decisions approved in the Decision Log.</x:v>
      </x:c>
      <x:c r="J22" s="35" t="str">
        <x:v>Signed Decision Log</x:v>
      </x:c>
      <x:c r="K22" s="35" t="str">
        <x:v>D1-01:D1-07</x:v>
      </x:c>
      <x:c r="L22" s="35" t="str">
        <x:v>Guide</x:v>
      </x:c>
      <x:c r="M22" s="35" t="str">
        <x:v>Week 2</x:v>
      </x:c>
      <x:c r="N22" s="35" t="str">
        <x:v>Not Started</x:v>
      </x:c>
      <x:c r="O22" s="41" t="n">
        <x:v>0</x:v>
      </x:c>
      <x:c r="P22" s="35" t="str">
        <x:v>Yes</x:v>
      </x:c>
      <x:c r="Q22" s="35" t="str">
        <x:v>Yes</x:v>
      </x:c>
      <x:c r="R22" s="35" t="str">
        <x:v>Internal</x:v>
      </x:c>
      <x:c r="S22" s="35" t="str">
        <x:v>Editor</x:v>
      </x:c>
      <x:c r="T22" s="35" t="str">
        <x:v>Resolution package added 2026-07-18; see columns U:Z. Keep task open until the stated evidence/acceptance test is satisfied.</x:v>
      </x:c>
      <x:c r="U22" s="145" t="str">
        <x:v>Lock DEC-01 through DEC-07 as the revision baseline before reruns or rewriting.</x:v>
      </x:c>
      <x:c r="V22" s="146" t="str">
        <x:v>The decisions alter the title, theory, experiment interpretation and response stance; editing against an open identity creates contradictions.</x:v>
      </x:c>
      <x:c r="W22" s="146" t="str">
        <x:v>Record approvals and use the locked decisions as acceptance criteria for all downstream tasks.</x:v>
      </x:c>
      <x:c r="X22" s="146" t="str">
        <x:v>The authors approved the reduced, evidence-aligned paper identity before completing the technical revision.</x:v>
      </x:c>
      <x:c r="Y22" s="146" t="str">
        <x:v>Dated Decision Log with approver names.</x:v>
      </x:c>
      <x:c r="Z22" s="147" t="str">
        <x:v>Guide approval pending</x:v>
      </x:c>
    </x:row>
    <x:row r="23" ht="150" customHeight="1">
      <x:c r="A23" s="37" t="str">
        <x:v>T2-01</x:v>
      </x:c>
      <x:c r="B23" s="39" t="str">
        <x:v>2. Theory &amp; Algorithm</x:v>
      </x:c>
      <x:c r="C23" s="35" t="str">
        <x:v>P1 Major</x:v>
      </x:c>
      <x:c r="D23" s="35" t="str">
        <x:v>R1</x:v>
      </x:c>
      <x:c r="E23" s="35" t="str">
        <x:v>Notation</x:v>
      </x:c>
      <x:c r="F23" s="35" t="str">
        <x:v>Remove η notation overloading</x:v>
      </x:c>
      <x:c r="G23" s="35" t="str">
        <x:v>η is used for both learning rate and scalability efficiency.</x:v>
      </x:c>
      <x:c r="H23" s="35" t="str">
        <x:v>• Reserve η for scalability efficiency.
• Use a distinct symbol such as α_lr for learning rate.
• Search equations, tables, captions and prose for every occurrence.</x:v>
      </x:c>
      <x:c r="I23" s="35" t="str">
        <x:v>Each symbol has one meaning throughout the manuscript.</x:v>
      </x:c>
      <x:c r="J23" s="35" t="str">
        <x:v>Notation audit + revised equations/tables</x:v>
      </x:c>
      <x:c r="K23" s="35" t="str">
        <x:v>D1-04</x:v>
      </x:c>
      <x:c r="L23" s="35" t="str">
        <x:v>Aditya</x:v>
      </x:c>
      <x:c r="M23" s="35" t="str">
        <x:v>Week 2</x:v>
      </x:c>
      <x:c r="N23" s="35" t="str">
        <x:v>Not Started</x:v>
      </x:c>
      <x:c r="O23" s="41" t="n">
        <x:v>0</x:v>
      </x:c>
      <x:c r="P23" s="35" t="str">
        <x:v>No</x:v>
      </x:c>
      <x:c r="Q23" s="35" t="str">
        <x:v>No</x:v>
      </x:c>
      <x:c r="R23" s="35" t="str">
        <x:v>Sections III-D, IV-C, IV-F; Tables 1 and 3</x:v>
      </x:c>
      <x:c r="S23" s="35" t="str">
        <x:v>R1</x:v>
      </x:c>
      <x:c r="T23" s="35" t="str">
        <x:v>Resolution package added 2026-07-18; see columns U:Z. Keep task open until the stated evidence/acceptance test is satisfied.</x:v>
      </x:c>
      <x:c r="U23" s="148" t="str">
        <x:v>Reserve η_N for scaling efficiency and use α_lr (or γ_lr) for learning rate everywhere.</x:v>
      </x:c>
      <x:c r="V23" s="149" t="str">
        <x:v>The same symbol currently denotes unrelated quantities, making equations and tables ambiguous.</x:v>
      </x:c>
      <x:c r="W23" s="149" t="str">
        <x:v>Change Eq. 13/optimizer notation and Table 1 learning-rate row; define η_N only as S_N/(N S_1), with N explicitly meaning GPU workers.</x:v>
      </x:c>
      <x:c r="X23" s="149" t="str">
        <x:v>We corrected the overloaded notation by separating learning rate from scaling efficiency and audited all equations, tables and captions.</x:v>
      </x:c>
      <x:c r="Y23" s="149" t="str">
        <x:v>Symbol glossary and full-source search with no conflicting η uses.</x:v>
      </x:c>
      <x:c r="Z23" s="150" t="str">
        <x:v>Exact correction specified</x:v>
      </x:c>
    </x:row>
    <x:row r="24" ht="150" customHeight="1">
      <x:c r="A24" s="37" t="str">
        <x:v>T2-02</x:v>
      </x:c>
      <x:c r="B24" s="39" t="str">
        <x:v>2. Theory &amp; Algorithm</x:v>
      </x:c>
      <x:c r="C24" s="35" t="str">
        <x:v>P0 Critical</x:v>
      </x:c>
      <x:c r="D24" s="35" t="str">
        <x:v>R2</x:v>
      </x:c>
      <x:c r="E24" s="35" t="str">
        <x:v>Architecture mathematics</x:v>
      </x:c>
      <x:c r="F24" s="35" t="str">
        <x:v>Derive and verify the exact receptive field for each branch</x:v>
      </x:c>
      <x:c r="G24" s="35" t="str">
        <x:v>Equation (2) appears to contain two dilated convolutions per block, so neither the manuscript values nor the reviewer's one-convolution calculation should be adopted without verification.</x:v>
      </x:c>
      <x:c r="H24" s="35" t="str">
        <x:v>• Derive the formula from the implemented block, including both convolutions, padding and residual path.
• Write a unit test that perturbs input positions and measures the effective receptive field.
• Correct Figure 2, text and temporal-unit labels from the verified result.</x:v>
      </x:c>
      <x:c r="I24" s="35" t="str">
        <x:v>Analytical derivation and code-based measurement agree for all branches.</x:v>
      </x:c>
      <x:c r="J24" s="35" t="str">
        <x:v>Derivation + unit test + corrected Figure 2</x:v>
      </x:c>
      <x:c r="K24" s="35" t="str">
        <x:v>G0-09</x:v>
      </x:c>
      <x:c r="L24" s="35" t="str">
        <x:v>Aditya</x:v>
      </x:c>
      <x:c r="M24" s="35" t="str">
        <x:v>Week 2</x:v>
      </x:c>
      <x:c r="N24" s="35" t="str">
        <x:v>Not Started</x:v>
      </x:c>
      <x:c r="O24" s="41" t="n">
        <x:v>0</x:v>
      </x:c>
      <x:c r="P24" s="35" t="str">
        <x:v>Yes</x:v>
      </x:c>
      <x:c r="Q24" s="35" t="str">
        <x:v>No</x:v>
      </x:c>
      <x:c r="R24" s="35" t="str">
        <x:v>Section III-B; Figure 2</x:v>
      </x:c>
      <x:c r="S24" s="35" t="str">
        <x:v>R2</x:v>
      </x:c>
      <x:c r="T24" s="35" t="str">
        <x:v>Resolution package added 2026-07-18; see columns U:Z. Keep task open until the stated evidence/acceptance test is satisfied.</x:v>
      </x:c>
      <x:c r="U24" s="145" t="str">
        <x:v>Use the two-convolution receptive-field formula implied by Eq. (2): R_b = 1 + 2(K-1)Σ_l r_{b,l}. For K=3 this gives 61, 481 and 1921 timesteps for the submitted schedules, subject to code confirmation.</x:v>
      </x:c>
      <x:c r="V24" s="146" t="str">
        <x:v>Each residual block visibly contains two dilated convolutions. The submitted 47/383/1535 values and a one-convolution calculation are both inconsistent with that written architecture.</x:v>
      </x:c>
      <x:c r="W24" s="146" t="str">
        <x:v>Correct Eq./Figure 2 and add a table of theoretical versus realized span. StudentLife's T=60 caps all branches at the 60-minute input; DAIC-WOZ at 0.5 s gives theoretical spans 30.5 s, 240.5 s and 960.5 s before sequence-length capping.</x:v>
      </x:c>
      <x:c r="X24" s="146" t="str">
        <x:v>We re-derived the receptive fields from the implemented two-convolution block, verified them with a perturbation test, and replaced the previous values and scale labels.</x:v>
      </x:c>
      <x:c r="Y24" s="146" t="str">
        <x:v>Model-code inspection; impulse/gradient receptive-field unit test; revised Figure 2.</x:v>
      </x:c>
      <x:c r="Z24" s="147" t="str">
        <x:v>Mathematical correction drafted; code confirmation required</x:v>
      </x:c>
    </x:row>
    <x:row r="25" ht="150" customHeight="1">
      <x:c r="A25" s="37" t="str">
        <x:v>T2-03</x:v>
      </x:c>
      <x:c r="B25" s="39" t="str">
        <x:v>2. Theory &amp; Algorithm</x:v>
      </x:c>
      <x:c r="C25" s="35" t="str">
        <x:v>P1 Major</x:v>
      </x:c>
      <x:c r="D25" s="35" t="str">
        <x:v>R2</x:v>
      </x:c>
      <x:c r="E25" s="35" t="str">
        <x:v>Parameter accounting</x:v>
      </x:c>
      <x:c r="F25" s="35" t="str">
        <x:v>Correct the personalization-adapter parameter count</x:v>
      </x:c>
      <x:c r="G25" s="35" t="str">
        <x:v>The shared matrices contribute O(D²) parameters; the per-subject cost is the embedding dimension d_s, not 2D.</x:v>
      </x:c>
      <x:c r="H25" s="35" t="str">
        <x:v>• Compute exact shared and per-subject parameter counts from code.
• Update the equations and complexity discussion.
• Replace 'negligible' with measured overhead.</x:v>
      </x:c>
      <x:c r="I25" s="35" t="str">
        <x:v>Parameter counts in prose, table and code summary match exactly.</x:v>
      </x:c>
      <x:c r="J25" s="35" t="str">
        <x:v>Parameter-count table + corrected description</x:v>
      </x:c>
      <x:c r="K25" s="35" t="str">
        <x:v>G0-09</x:v>
      </x:c>
      <x:c r="L25" s="35" t="str">
        <x:v>Aditya</x:v>
      </x:c>
      <x:c r="M25" s="35" t="str">
        <x:v>Week 2</x:v>
      </x:c>
      <x:c r="N25" s="35" t="str">
        <x:v>Not Started</x:v>
      </x:c>
      <x:c r="O25" s="41" t="n">
        <x:v>0</x:v>
      </x:c>
      <x:c r="P25" s="35" t="str">
        <x:v>No</x:v>
      </x:c>
      <x:c r="Q25" s="35" t="str">
        <x:v>No</x:v>
      </x:c>
      <x:c r="R25" s="35" t="str">
        <x:v>Section III-B.4; Complexity</x:v>
      </x:c>
      <x:c r="S25" s="35" t="str">
        <x:v>R2</x:v>
      </x:c>
      <x:c r="T25" s="35" t="str">
        <x:v>Resolution package added 2026-07-18; see columns U:Z. Keep task open until the stated evidence/acceptance test is satisfied.</x:v>
      </x:c>
      <x:c r="U25" s="148" t="str">
        <x:v>Correct adapter accounting: per-subject parameters equal d_s (8 in the submitted default), while the FiLM generator matrices are shared. Report both exact shared and per-subject counts.</x:v>
      </x:c>
      <x:c r="V25" s="149" t="str">
        <x:v>The statement '2D parameters per subject' confuses generated γ/β values with stored trainable parameters. Shared MLP weights scale with D and its hidden width; only the identity embedding is subject-specific.</x:v>
      </x:c>
      <x:c r="W25" s="149" t="str">
        <x:v>Replace the sentence after Eq. 9 with an exact formula from code, e.g. per subject d_s and shared h(d_s+1)+2D(h+1) if a single h-wide hidden layer is implemented; replace 'negligible' with the measured percentage.</x:v>
      </x:c>
      <x:c r="X25" s="149" t="str">
        <x:v>We corrected the accounting by separating shared FiLM-generator parameters from the d_s parameters stored per subject and now report exact counts and measured overhead.</x:v>
      </x:c>
      <x:c r="Y25" s="149" t="str">
        <x:v>Parameter enumeration from the model state_dict and a shared/per-subject table.</x:v>
      </x:c>
      <x:c r="Z25" s="150" t="str">
        <x:v>Correction specified; exact shared count requires code dimensions</x:v>
      </x:c>
    </x:row>
    <x:row r="26" ht="150" customHeight="1">
      <x:c r="A26" s="37" t="str">
        <x:v>T2-04</x:v>
      </x:c>
      <x:c r="B26" s="39" t="str">
        <x:v>2. Theory &amp; Algorithm</x:v>
      </x:c>
      <x:c r="C26" s="35" t="str">
        <x:v>P0 Critical</x:v>
      </x:c>
      <x:c r="D26" s="35" t="str">
        <x:v>R2</x:v>
      </x:c>
      <x:c r="E26" s="35" t="str">
        <x:v>Algorithm semantics</x:v>
      </x:c>
      <x:c r="F26" s="35" t="str">
        <x:v>Rewrite the staleness counter semantics</x:v>
      </x:c>
      <x:c r="G26" s="35" t="str">
        <x:v>The current increment/reset behavior is not clearly consistent with the prose description of continuously bounded staleness.</x:v>
      </x:c>
      <x:c r="H26" s="35" t="str">
        <x:v>• Define precisely what Δ_b counts: optimizer steps, parameter versions or missed synchronizations.
• Specify when it increments and resets.
• Make Algorithm 1 and Section III-D identical in meaning.</x:v>
      </x:c>
      <x:c r="I26" s="35" t="str">
        <x:v>A reader can simulate the counter without ambiguity, and the code follows the same rule.</x:v>
      </x:c>
      <x:c r="J26" s="35" t="str">
        <x:v>Revised Algorithm 1 + implementation test</x:v>
      </x:c>
      <x:c r="K26" s="35" t="str">
        <x:v>D1-04</x:v>
      </x:c>
      <x:c r="L26" s="35" t="str">
        <x:v>Aditya</x:v>
      </x:c>
      <x:c r="M26" s="35" t="str">
        <x:v>Week 2</x:v>
      </x:c>
      <x:c r="N26" s="35" t="str">
        <x:v>Not Started</x:v>
      </x:c>
      <x:c r="O26" s="41" t="n">
        <x:v>0</x:v>
      </x:c>
      <x:c r="P26" s="35" t="str">
        <x:v>Yes</x:v>
      </x:c>
      <x:c r="Q26" s="35" t="str">
        <x:v>No</x:v>
      </x:c>
      <x:c r="R26" s="35" t="str">
        <x:v>Section III-D; Algorithm 1</x:v>
      </x:c>
      <x:c r="S26" s="35" t="str">
        <x:v>R2</x:v>
      </x:c>
      <x:c r="T26" s="35" t="str">
        <x:v>Resolution package added 2026-07-18; see columns U:Z. Keep task open until the stated evidence/acceptance test is satisfied.</x:v>
      </x:c>
      <x:c r="U26" s="145" t="str">
        <x:v>Define Δ_b as branch parameter-version lag, not an informal step count. Increment the global version on optimizer updates, compute Δ_b=v_global-v_b, and reset/update versions after a successful synchronization.</x:v>
      </x:c>
      <x:c r="V26" s="146" t="str">
        <x:v>The current increment-after-local-update semantics can make a synchronized branch appear increasingly stale and does not identify the reference version.</x:v>
      </x:c>
      <x:c r="W26" s="146" t="str">
        <x:v>Rewrite Algorithm 1 with v_global and v_b, state the comparison as Δ_b ≥ δ_max before applying another stale update, and reset all affected branch versions after either synchronization path.</x:v>
      </x:c>
      <x:c r="X26" s="146" t="str">
        <x:v>We agree that the counter semantics were ambiguous. The revised algorithm defines version lag, update/reset events and the exact HOLD condition consistently in equations and pseudocode.</x:v>
      </x:c>
      <x:c r="Y26" s="146" t="str">
        <x:v>State-transition table and deterministic counter unit tests.</x:v>
      </x:c>
      <x:c r="Z26" s="147" t="str">
        <x:v>Algorithm design resolved; implementation verification pending</x:v>
      </x:c>
    </x:row>
    <x:row r="27" ht="150" customHeight="1">
      <x:c r="A27" s="37" t="str">
        <x:v>T2-05</x:v>
      </x:c>
      <x:c r="B27" s="39" t="str">
        <x:v>2. Theory &amp; Algorithm</x:v>
      </x:c>
      <x:c r="C27" s="35" t="str">
        <x:v>P0 Critical</x:v>
      </x:c>
      <x:c r="D27" s="35" t="str">
        <x:v>R2</x:v>
      </x:c>
      <x:c r="E27" s="35" t="str">
        <x:v>Synchronization</x:v>
      </x:c>
      <x:c r="F27" s="35" t="str">
        <x:v>Explain HOLD-triggered synchronization versus periodic AllReduce</x:v>
      </x:c>
      <x:c r="G27" s="35" t="str">
        <x:v>Two synchronization paths are present but their interaction, ordering and parameter scope are unclear.</x:v>
      </x:c>
      <x:c r="H27" s="35" t="str">
        <x:v>• Specify whether HOLD synchronizes one branch or the full model.
• Define precedence when HOLD and periodic synchronization occur in the same step.
• Measure the communication and optimization consequences.</x:v>
      </x:c>
      <x:c r="I27" s="35" t="str">
        <x:v>The algorithm, pseudocode and implementation use one unambiguous synchronization protocol.</x:v>
      </x:c>
      <x:c r="J27" s="35" t="str">
        <x:v>Protocol state diagram + revised pseudocode</x:v>
      </x:c>
      <x:c r="K27" s="35" t="str">
        <x:v>T2-04</x:v>
      </x:c>
      <x:c r="L27" s="35" t="str">
        <x:v>Aditya</x:v>
      </x:c>
      <x:c r="M27" s="35" t="str">
        <x:v>Week 2</x:v>
      </x:c>
      <x:c r="N27" s="35" t="str">
        <x:v>Not Started</x:v>
      </x:c>
      <x:c r="O27" s="41" t="n">
        <x:v>0</x:v>
      </x:c>
      <x:c r="P27" s="35" t="str">
        <x:v>Yes</x:v>
      </x:c>
      <x:c r="Q27" s="35" t="str">
        <x:v>No</x:v>
      </x:c>
      <x:c r="R27" s="35" t="str">
        <x:v>Section III-D/E; Algorithm 1</x:v>
      </x:c>
      <x:c r="S27" s="35" t="str">
        <x:v>R2</x:v>
      </x:c>
      <x:c r="T27" s="35" t="str">
        <x:v>Resolution package added 2026-07-18; see columns U:Z. Keep task open until the stated evidence/acceptance test is satisfied.</x:v>
      </x:c>
      <x:c r="U27" s="148" t="str">
        <x:v>Use one synchronization rule: if HOLD or the periodic condition fires, perform one full affected-parameter synchronization, then reset/update all relevant version counters; HOLD takes precedence and duplicate synchronization is prohibited.</x:v>
      </x:c>
      <x:c r="V27" s="149" t="str">
        <x:v>Two independent paths without precedence can double-count communication, reset only one branch, or make the analytical byte count wrong.</x:v>
      </x:c>
      <x:c r="W27" s="149" t="str">
        <x:v>Add a trigger truth table to Algorithm 1 and specify parameter scope, barrier behavior and optimizer-state handling. Instrument the trigger source and bytes transferred.</x:v>
      </x:c>
      <x:c r="X27" s="149" t="str">
        <x:v>We clarified the interaction of HOLD and periodic synchronization, including precedence, parameter scope, counter reset and communication accounting.</x:v>
      </x:c>
      <x:c r="Y27" s="149" t="str">
        <x:v>Integration tests for simultaneous triggers; communication logs.</x:v>
      </x:c>
      <x:c r="Z27" s="150" t="str">
        <x:v>Semantics resolved; implementation test pending</x:v>
      </x:c>
    </x:row>
    <x:row r="28" ht="150" customHeight="1">
      <x:c r="A28" s="37" t="str">
        <x:v>T2-06</x:v>
      </x:c>
      <x:c r="B28" s="39" t="str">
        <x:v>2. Theory &amp; Algorithm</x:v>
      </x:c>
      <x:c r="C28" s="35" t="str">
        <x:v>P0 Critical</x:v>
      </x:c>
      <x:c r="D28" s="35" t="str">
        <x:v>R2</x:v>
      </x:c>
      <x:c r="E28" s="35" t="str">
        <x:v>Replication</x:v>
      </x:c>
      <x:c r="F28" s="35" t="str">
        <x:v>Define TCP behavior when branches are replicated for N &gt; 3</x:v>
      </x:c>
      <x:c r="G28" s="35" t="str">
        <x:v>The paper introduces data-parallel branch replicas without explaining how their gradients are synchronized under TCP.</x:v>
      </x:c>
      <x:c r="H28" s="35" t="str">
        <x:v>• Specify intra-replica and inter-branch aggregation order.
• State whether causal masking applies before or after replica reduction.
• Remove N &gt; 3 claims if the implemented behavior is not defined and tested.</x:v>
      </x:c>
      <x:c r="I28" s="35" t="str">
        <x:v>A complete execution graph exists for N=4, 8 and any reported higher count.</x:v>
      </x:c>
      <x:c r="J28" s="35" t="str">
        <x:v>Execution diagram + implementation description</x:v>
      </x:c>
      <x:c r="K28" s="35" t="str">
        <x:v>T2-04; T2-05</x:v>
      </x:c>
      <x:c r="L28" s="35" t="str">
        <x:v>Aditya</x:v>
      </x:c>
      <x:c r="M28" s="35" t="str">
        <x:v>Week 2–3</x:v>
      </x:c>
      <x:c r="N28" s="35" t="str">
        <x:v>Not Started</x:v>
      </x:c>
      <x:c r="O28" s="41" t="n">
        <x:v>0</x:v>
      </x:c>
      <x:c r="P28" s="35" t="str">
        <x:v>Yes</x:v>
      </x:c>
      <x:c r="Q28" s="35" t="str">
        <x:v>No</x:v>
      </x:c>
      <x:c r="R28" s="35" t="str">
        <x:v>Section III-C/D</x:v>
      </x:c>
      <x:c r="S28" s="35" t="str">
        <x:v>R2</x:v>
      </x:c>
      <x:c r="T28" s="35" t="str">
        <x:v>Resolution package added 2026-07-18; see columns U:Z. Keep task open until the stated evidence/acceptance test is satisfied.</x:v>
      </x:c>
      <x:c r="U28" s="145" t="str">
        <x:v>For N&gt;3, define replicas only if implemented: reduce gradients within replicas of the same branch first, then apply the branch update/version rule. Otherwise cap reported execution at the actually implemented branch/aggregator layout and remove replication claims.</x:v>
      </x:c>
      <x:c r="V28" s="146" t="str">
        <x:v>The manuscript says extra nodes replicate branches but gives no aggregation order or parameter-consistency rule, so N&gt;3 results are uninterpretable.</x:v>
      </x:c>
      <x:c r="W28" s="146" t="str">
        <x:v>Document GPU-to-branch mapping for N=4 and N=8. State whether the aggregator occupies a GPU. Remove N=16 and any configuration not backed by an explicit topology and test.</x:v>
      </x:c>
      <x:c r="X28" s="146" t="str">
        <x:v>We now define the replica-reduction order and topology for every reported GPU-worker count and removed configurations not implemented under those semantics.</x:v>
      </x:c>
      <x:c r="Y28" s="146" t="str">
        <x:v>Topology diagram; replica-gradient integration test; run configuration manifest.</x:v>
      </x:c>
      <x:c r="Z28" s="147" t="str">
        <x:v>Requires code/topology confirmation; unsupported configurations must be removed</x:v>
      </x:c>
    </x:row>
    <x:row r="29" ht="150" customHeight="1">
      <x:c r="A29" s="37" t="str">
        <x:v>T2-07</x:v>
      </x:c>
      <x:c r="B29" s="39" t="str">
        <x:v>2. Theory &amp; Algorithm</x:v>
      </x:c>
      <x:c r="C29" s="35" t="str">
        <x:v>P0 Critical</x:v>
      </x:c>
      <x:c r="D29" s="35" t="str">
        <x:v>R2; R6</x:v>
      </x:c>
      <x:c r="E29" s="35" t="str">
        <x:v>Experimental semantics</x:v>
      </x:c>
      <x:c r="F29" s="35" t="str">
        <x:v>Explain how N = 16 was produced on an eight-GPU server</x:v>
      </x:c>
      <x:c r="G29" s="35" t="str">
        <x:v>The hardware description and scalability table are currently inconsistent.</x:v>
      </x:c>
      <x:c r="H29" s="35" t="str">
        <x:v>• Document whether N means process, virtual worker, branch replica or physical GPU.
• Describe oversubscription if used.
• Remove or relabel N=16 results if they do not represent 16 independent compute resources.</x:v>
      </x:c>
      <x:c r="I29" s="35" t="str">
        <x:v>Node/worker/GPU terminology is consistent and every N value is physically interpretable.</x:v>
      </x:c>
      <x:c r="J29" s="35" t="str">
        <x:v>Revised hardware table + terminology note</x:v>
      </x:c>
      <x:c r="K29" s="35" t="str">
        <x:v>D1-01; T2-06</x:v>
      </x:c>
      <x:c r="L29" s="35" t="str">
        <x:v>Aditya</x:v>
      </x:c>
      <x:c r="M29" s="35" t="str">
        <x:v>Week 2</x:v>
      </x:c>
      <x:c r="N29" s="35" t="str">
        <x:v>Not Started</x:v>
      </x:c>
      <x:c r="O29" s="41" t="n">
        <x:v>0</x:v>
      </x:c>
      <x:c r="P29" s="35" t="str">
        <x:v>Yes</x:v>
      </x:c>
      <x:c r="Q29" s="35" t="str">
        <x:v>No</x:v>
      </x:c>
      <x:c r="R29" s="35" t="str">
        <x:v>Section IV-E; Table 3</x:v>
      </x:c>
      <x:c r="S29" s="35" t="str">
        <x:v>R2/R6</x:v>
      </x:c>
      <x:c r="T29" s="35" t="str">
        <x:v>Resolution package added 2026-07-18; see columns U:Z. Keep task open until the stated evidence/acceptance test is satisfied.</x:v>
      </x:c>
      <x:c r="U29" s="148" t="str">
        <x:v>Delete the N=16 column and define N as physical GPU workers on the single eight-GPU server; never call those workers compute nodes.</x:v>
      </x:c>
      <x:c r="V29" s="149" t="str">
        <x:v>The submitted hardware has eight GPUs. N=16 therefore cannot represent 16 independent physical resources and inflates the apparent scaling range.</x:v>
      </x:c>
      <x:c r="W29" s="149" t="str">
        <x:v>Relabel Table 3 and Figures 6/9; retain only N values tied to an explicit process/GPU mapping; disclose any oversubscription separately if it is still analyzed.</x:v>
      </x:c>
      <x:c r="X29" s="149" t="str">
        <x:v>We corrected the resource terminology and removed the N=16 result because it exceeded the available physical GPUs and could be misread as a 16-node experiment.</x:v>
      </x:c>
      <x:c r="Y29" s="149" t="str">
        <x:v>Hardware/process mapping and revised scaling table.</x:v>
      </x:c>
      <x:c r="Z29" s="150" t="str">
        <x:v>Resolved by removal/relabeling</x:v>
      </x:c>
    </x:row>
    <x:row r="30" ht="150" customHeight="1">
      <x:c r="A30" s="37" t="str">
        <x:v>T2-08</x:v>
      </x:c>
      <x:c r="B30" s="39" t="str">
        <x:v>2. Theory &amp; Algorithm</x:v>
      </x:c>
      <x:c r="C30" s="35" t="str">
        <x:v>P1 Major</x:v>
      </x:c>
      <x:c r="D30" s="35" t="str">
        <x:v>R2</x:v>
      </x:c>
      <x:c r="E30" s="35" t="str">
        <x:v>Scientific rationale</x:v>
      </x:c>
      <x:c r="F30" s="35" t="str">
        <x:v>Replace universal EEG-timescale grounding with dataset-specific temporal rationale</x:v>
      </x:c>
      <x:c r="G30" s="35" t="str">
        <x:v>Minute-resolution smartphone data cannot resolve theta- or alpha-band oscillations.</x:v>
      </x:c>
      <x:c r="H30" s="35" t="str">
        <x:v>• State actual sampling intervals and receptive-field durations for each dataset.
• Present the schedules as heuristic multi-resolution choices unless directly grounded for that dataset.
• Reserve EEG-frequency discussion for SEED or other truly high-frequency data.</x:v>
      </x:c>
      <x:c r="I30" s="35" t="str">
        <x:v>Every temporal-scale statement is physically meaningful for the dataset being discussed.</x:v>
      </x:c>
      <x:c r="J30" s="35" t="str">
        <x:v>Revised design rationale + duration table</x:v>
      </x:c>
      <x:c r="K30" s="35" t="str">
        <x:v>T2-02</x:v>
      </x:c>
      <x:c r="L30" s="35" t="str">
        <x:v>Aditya + Guide</x:v>
      </x:c>
      <x:c r="M30" s="35" t="str">
        <x:v>Week 2</x:v>
      </x:c>
      <x:c r="N30" s="35" t="str">
        <x:v>Not Started</x:v>
      </x:c>
      <x:c r="O30" s="41" t="n">
        <x:v>0</x:v>
      </x:c>
      <x:c r="P30" s="35" t="str">
        <x:v>No</x:v>
      </x:c>
      <x:c r="Q30" s="35" t="str">
        <x:v>No</x:v>
      </x:c>
      <x:c r="R30" s="35" t="str">
        <x:v>Sections III-A/B, VII-A</x:v>
      </x:c>
      <x:c r="S30" s="35" t="str">
        <x:v>R2</x:v>
      </x:c>
      <x:c r="T30" s="35" t="str">
        <x:v>Resolution package added 2026-07-18; see columns U:Z. Keep task open until the stated evidence/acceptance test is satisfied.</x:v>
      </x:c>
      <x:c r="U30" s="145" t="str">
        <x:v>Replace universal EEG/neuroscience grounding with sampling-aware, dataset-specific multi-resolution heuristics.</x:v>
      </x:c>
      <x:c r="V30" s="146" t="str">
        <x:v>One-minute smartphone features cannot resolve 4-12 Hz oscillations, and a 60-minute StudentLife input cannot demonstrate hours-to-days context. The original labels conflate biological frequency with sampled feature duration.</x:v>
      </x:c>
      <x:c r="W30" s="146" t="str">
        <x:v>Report sampling interval, input length, theoretical receptive field and capped realized span for each dataset. Limit EEG-band language to the SEED experiment if the preprocessing actually retains it.</x:v>
      </x:c>
      <x:c r="X30" s="146" t="str">
        <x:v>We removed the inappropriate mapping from EEG rhythms to low-frequency smartphone data and now describe the branch schedules using each dataset's actual temporal resolution.</x:v>
      </x:c>
      <x:c r="Y30" s="146" t="str">
        <x:v>Dataset-specific receptive-field table and removal of unsupported EEG claims.</x:v>
      </x:c>
      <x:c r="Z30" s="147" t="str">
        <x:v>Conceptual correction resolved</x:v>
      </x:c>
    </x:row>
    <x:row r="31" ht="150" customHeight="1">
      <x:c r="A31" s="37" t="str">
        <x:v>T2-09</x:v>
      </x:c>
      <x:c r="B31" s="39" t="str">
        <x:v>2. Theory &amp; Algorithm</x:v>
      </x:c>
      <x:c r="C31" s="35" t="str">
        <x:v>P0 Critical</x:v>
      </x:c>
      <x:c r="D31" s="35" t="str">
        <x:v>R1; R2</x:v>
      </x:c>
      <x:c r="E31" s="35" t="str">
        <x:v>Convergence analysis</x:v>
      </x:c>
      <x:c r="F31" s="35" t="str">
        <x:v>State all assumptions required by the revised theoretical result</x:v>
      </x:c>
      <x:c r="G31" s="35" t="str">
        <x:v>The current proof sketch omits assumptions about estimator bias, delay, bounded gradients and synchronization.</x:v>
      </x:c>
      <x:c r="H31" s="35" t="str">
        <x:v>• Define objective, stochastic estimator, masking operator and parameter-delay model.
• State smoothness, variance/bias and bounded-delay assumptions.
• Explain which assumptions are empirically checkable.</x:v>
      </x:c>
      <x:c r="I31" s="35" t="str">
        <x:v>The theorem/proposition is self-contained and every symbol and assumption is defined.</x:v>
      </x:c>
      <x:c r="J31" s="35" t="str">
        <x:v>Formal assumptions subsection</x:v>
      </x:c>
      <x:c r="K31" s="35" t="str">
        <x:v>D1-04</x:v>
      </x:c>
      <x:c r="L31" s="35" t="str">
        <x:v>Aditya + Math reviewer</x:v>
      </x:c>
      <x:c r="M31" s="35" t="str">
        <x:v>Week 2–3</x:v>
      </x:c>
      <x:c r="N31" s="35" t="str">
        <x:v>Not Started</x:v>
      </x:c>
      <x:c r="O31" s="41" t="n">
        <x:v>0</x:v>
      </x:c>
      <x:c r="P31" s="35" t="str">
        <x:v>Yes</x:v>
      </x:c>
      <x:c r="Q31" s="35" t="str">
        <x:v>No</x:v>
      </x:c>
      <x:c r="R31" s="35" t="str">
        <x:v>Section III-D; Appendix</x:v>
      </x:c>
      <x:c r="S31" s="35" t="str">
        <x:v>R1/R2</x:v>
      </x:c>
      <x:c r="T31" s="35" t="str">
        <x:v>Resolution package added 2026-07-18; see columns U:Z. Keep task open until the stated evidence/acceptance test is satisfied.</x:v>
      </x:c>
      <x:c r="U31" s="148" t="str">
        <x:v>Because the convergence theorem is removed, replace proof assumptions with explicit operational assumptions for the version-lag proposition and empirical protocol.</x:v>
      </x:c>
      <x:c r="V31" s="149" t="str">
        <x:v>Listing smoothness/unbiasedness assumptions would not rescue a theorem that does not model the masked estimator. The paper should not imply a theoretical guarantee by assumption alone.</x:v>
      </x:c>
      <x:c r="W31" s="149" t="str">
        <x:v>Define finite version counters, reliable synchronization, bounded trigger latency and deterministic reset; discuss optimizer effects empirically rather than claiming convergence.</x:v>
      </x:c>
      <x:c r="X31" s="149" t="str">
        <x:v>Following removal of the unsupported theorem, we now state only the assumptions needed for the implementation invariant and do not infer optimization convergence.</x:v>
      </x:c>
      <x:c r="Y31" s="149" t="str">
        <x:v>Revised proposition and algorithm tests.</x:v>
      </x:c>
      <x:c r="Z31" s="150" t="str">
        <x:v>Resolved with theorem removal</x:v>
      </x:c>
    </x:row>
    <x:row r="32" ht="150" customHeight="1">
      <x:c r="A32" s="37" t="str">
        <x:v>T2-10</x:v>
      </x:c>
      <x:c r="B32" s="39" t="str">
        <x:v>2. Theory &amp; Algorithm</x:v>
      </x:c>
      <x:c r="C32" s="35" t="str">
        <x:v>P0 Critical</x:v>
      </x:c>
      <x:c r="D32" s="35" t="str">
        <x:v>R1; R2</x:v>
      </x:c>
      <x:c r="E32" s="35" t="str">
        <x:v>Proof</x:v>
      </x:c>
      <x:c r="F32" s="35" t="str">
        <x:v>Complete a valid proof or explicitly remove the convergence guarantee</x:v>
      </x:c>
      <x:c r="G32" s="35" t="str">
        <x:v>Causal masking creates a potentially biased estimator that cannot simply inherit an unbiased asynchronous-SGD theorem.</x:v>
      </x:c>
      <x:c r="H32" s="35" t="str">
        <x:v>• Derive a bounded-bias result using an appropriate theorem, or provide a fresh proof.
• Analyze the HOLD and periodic-sync interaction.
• Have a qualified colleague independently review every step.</x:v>
      </x:c>
      <x:c r="I32" s="35" t="str">
        <x:v>Independent reviewer signs off on the proof, or all convergence-guarantee language is removed.</x:v>
      </x:c>
      <x:c r="J32" s="35" t="str">
        <x:v>Reviewed appendix proof or approved replacement text</x:v>
      </x:c>
      <x:c r="K32" s="35" t="str">
        <x:v>T2-09</x:v>
      </x:c>
      <x:c r="L32" s="35" t="str">
        <x:v>Math reviewer + Aditya</x:v>
      </x:c>
      <x:c r="M32" s="35" t="str">
        <x:v>Week 3</x:v>
      </x:c>
      <x:c r="N32" s="35" t="str">
        <x:v>Not Started</x:v>
      </x:c>
      <x:c r="O32" s="41" t="n">
        <x:v>0</x:v>
      </x:c>
      <x:c r="P32" s="35" t="str">
        <x:v>Yes</x:v>
      </x:c>
      <x:c r="Q32" s="35" t="str">
        <x:v>No</x:v>
      </x:c>
      <x:c r="R32" s="35" t="str">
        <x:v>Section III-D; Appendix</x:v>
      </x:c>
      <x:c r="S32" s="35" t="str">
        <x:v>R1/R2</x:v>
      </x:c>
      <x:c r="T32" s="35" t="str">
        <x:v>Resolution package added 2026-07-18; see columns U:Z. Keep task open until the stated evidence/acceptance test is satisfied.</x:v>
      </x:c>
      <x:c r="U32" s="145" t="str">
        <x:v>Remove the proof sketch, square-root convergence rate and 'synchronous optimum' guarantee; do not claim Lian et al. applies to the masked estimator.</x:v>
      </x:c>
      <x:c r="V32" s="146" t="str">
        <x:v>Causal masking can bias gradients, HOLD changes update selection, and periodic synchronization changes the process. The submitted sketch does not bound those terms.</x:v>
      </x:c>
      <x:c r="W32" s="146" t="str">
        <x:v>Replace the theorem subsection with 'Version-Lag Control' and a directly provable invariant: the scheduler blocks any update whose pre-update lag would exceed δ_max.</x:v>
      </x:c>
      <x:c r="X32" s="146" t="str">
        <x:v>We agree that the cited asynchronous-SGD result did not establish our masked-update convergence claim. We removed the guarantee and retained only a directly enforceable systems invariant.</x:v>
      </x:c>
      <x:c r="Y32" s="146" t="str">
        <x:v>No theorem/convergence wording remains; invariant checked by tests.</x:v>
      </x:c>
      <x:c r="Z32" s="147" t="str">
        <x:v>Resolved by withdrawal</x:v>
      </x:c>
    </x:row>
    <x:row r="33" ht="150" customHeight="1">
      <x:c r="A33" s="37" t="str">
        <x:v>T2-11</x:v>
      </x:c>
      <x:c r="B33" s="39" t="str">
        <x:v>2. Theory &amp; Algorithm</x:v>
      </x:c>
      <x:c r="C33" s="35" t="str">
        <x:v>P1 Major</x:v>
      </x:c>
      <x:c r="D33" s="35" t="str">
        <x:v>R3</x:v>
      </x:c>
      <x:c r="E33" s="35" t="str">
        <x:v>Complexity</x:v>
      </x:c>
      <x:c r="F33" s="35" t="str">
        <x:v>Expand the analytical computational and communication complexity derivation</x:v>
      </x:c>
      <x:c r="G33" s="35" t="str">
        <x:v>The paper currently gives only a coarse operation expression and communication estimate.</x:v>
      </x:c>
      <x:c r="H33" s="35" t="str">
        <x:v>• Derive time and memory complexity per branch and for CSAG/adapter/head.
• Separate forward, backward and synchronization costs.
• Relate formulas to measured values.</x:v>
      </x:c>
      <x:c r="I33" s="35" t="str">
        <x:v>Analytical estimates and measured profiling results are reported together.</x:v>
      </x:c>
      <x:c r="J33" s="35" t="str">
        <x:v>Complexity subsection + table</x:v>
      </x:c>
      <x:c r="K33" s="35" t="str">
        <x:v>T2-02; T2-03</x:v>
      </x:c>
      <x:c r="L33" s="35" t="str">
        <x:v>Aditya</x:v>
      </x:c>
      <x:c r="M33" s="35" t="str">
        <x:v>Week 3</x:v>
      </x:c>
      <x:c r="N33" s="35" t="str">
        <x:v>Not Started</x:v>
      </x:c>
      <x:c r="O33" s="41" t="n">
        <x:v>0</x:v>
      </x:c>
      <x:c r="P33" s="35" t="str">
        <x:v>No</x:v>
      </x:c>
      <x:c r="Q33" s="35" t="str">
        <x:v>No</x:v>
      </x:c>
      <x:c r="R33" s="35" t="str">
        <x:v>Section III-F</x:v>
      </x:c>
      <x:c r="S33" s="35" t="str">
        <x:v>R3</x:v>
      </x:c>
      <x:c r="T33" s="35" t="str">
        <x:v>Resolution package added 2026-07-18; see columns U:Z. Keep task open until the stated evidence/acceptance test is satisfied.</x:v>
      </x:c>
      <x:c r="U33" s="148" t="str">
        <x:v>Replace the coarse O(TDL_bK) expression with dimensionally correct forward/backward, memory and communication formulas, then reconcile them with profiling.</x:v>
      </x:c>
      <x:c r="V33" s="149" t="str">
        <x:v>A D-to-D convolution costs O(TKD²), not O(TKD). CSAG and FiLM/head costs are omitted, and communication depends on batch size, dtype, sequence length and synchronization frequency.</x:v>
      </x:c>
      <x:c r="W33" s="149" t="str">
        <x:v>Report per branch O(2L_bTKD²), input projection O(TdD), explicit CSAG dimensions, activation memory, parameters and bytes = 2B·bytes(dtype)·T·Σ_bD_b plus measured synchronization traffic.</x:v>
      </x:c>
      <x:c r="X33" s="149" t="str">
        <x:v>We expanded the analysis to include all modules, backward cost, memory and measured communication, and corrected the missing hidden-dimension factor.</x:v>
      </x:c>
      <x:c r="Y33" s="149" t="str">
        <x:v>Symbolic derivation, profiler table and analytical-versus-measured byte reconciliation.</x:v>
      </x:c>
      <x:c r="Z33" s="150" t="str">
        <x:v>Derivation specified; profiling pending</x:v>
      </x:c>
    </x:row>
    <x:row r="34" ht="150" customHeight="1">
      <x:c r="A34" s="37" t="str">
        <x:v>T2-12</x:v>
      </x:c>
      <x:c r="B34" s="39" t="str">
        <x:v>2. Theory &amp; Algorithm</x:v>
      </x:c>
      <x:c r="C34" s="35" t="str">
        <x:v>P1 Major</x:v>
      </x:c>
      <x:c r="D34" s="35" t="str">
        <x:v>R2; R3</x:v>
      </x:c>
      <x:c r="E34" s="35" t="str">
        <x:v>Verification</x:v>
      </x:c>
      <x:c r="F34" s="35" t="str">
        <x:v>Add unit and integration tests for TCP, SAP, receptive field and parameter counts</x:v>
      </x:c>
      <x:c r="G34" s="35" t="str">
        <x:v>Several reviewer concerns are symptoms of undocumented implementation behavior.</x:v>
      </x:c>
      <x:c r="H34" s="35" t="str">
        <x:v>• Test counter transitions and synchronization ordering.
• Test SAP placement and N&gt;3 replication.
• Test receptive fields and exact parameter counts.</x:v>
      </x:c>
      <x:c r="I34" s="35" t="str">
        <x:v>Automated tests pass on the tagged revision commit and are included in the repository.</x:v>
      </x:c>
      <x:c r="J34" s="35" t="str">
        <x:v>Test suite report</x:v>
      </x:c>
      <x:c r="K34" s="35" t="str">
        <x:v>G0-09; T2-02:T2-06</x:v>
      </x:c>
      <x:c r="L34" s="35" t="str">
        <x:v>Aditya</x:v>
      </x:c>
      <x:c r="M34" s="35" t="str">
        <x:v>Week 3</x:v>
      </x:c>
      <x:c r="N34" s="35" t="str">
        <x:v>Not Started</x:v>
      </x:c>
      <x:c r="O34" s="41" t="n">
        <x:v>0</x:v>
      </x:c>
      <x:c r="P34" s="35" t="str">
        <x:v>No</x:v>
      </x:c>
      <x:c r="Q34" s="35" t="str">
        <x:v>No</x:v>
      </x:c>
      <x:c r="R34" s="35" t="str">
        <x:v>Code / supplement</x:v>
      </x:c>
      <x:c r="S34" s="35" t="str">
        <x:v>R2/R3</x:v>
      </x:c>
      <x:c r="T34" s="35" t="str">
        <x:v>Resolution package added 2026-07-18; see columns U:Z. Keep task open until the stated evidence/acceptance test is satisfied.</x:v>
      </x:c>
      <x:c r="U34" s="145" t="str">
        <x:v>Make tests part of the reproducibility package: receptive field, parameter count, counter transitions, simultaneous sync triggers, replica order and shape/gradient equivalence.</x:v>
      </x:c>
      <x:c r="V34" s="146" t="str">
        <x:v>The reviewers exposed multiple specification-to-implementation ambiguities; executable tests are the strongest evidence that the revised paper matches the code.</x:v>
      </x:c>
      <x:c r="W34" s="146" t="str">
        <x:v>List test names, expected invariants and software version in the supplement; publish test outputs with the revision tag.</x:v>
      </x:c>
      <x:c r="X34" s="146" t="str">
        <x:v>We added executable unit/integration tests covering the behaviors questioned by the reviewers and linked their outputs to the revision archive.</x:v>
      </x:c>
      <x:c r="Y34" s="146" t="str">
        <x:v>Passing test report from the locked commit.</x:v>
      </x:c>
      <x:c r="Z34" s="147" t="str">
        <x:v>Test plan complete; execution pending</x:v>
      </x:c>
    </x:row>
    <x:row r="35" ht="150" customHeight="1">
      <x:c r="A35" s="37" t="str">
        <x:v>V3-01</x:v>
      </x:c>
      <x:c r="B35" s="39" t="str">
        <x:v>3. Data &amp; Evaluation Integrity</x:v>
      </x:c>
      <x:c r="C35" s="35" t="str">
        <x:v>P0 Critical</x:v>
      </x:c>
      <x:c r="D35" s="35" t="str">
        <x:v>R3; R4</x:v>
      </x:c>
      <x:c r="E35" s="35" t="str">
        <x:v>Data split</x:v>
      </x:c>
      <x:c r="F35" s="35" t="str">
        <x:v>Audit StudentLife split for participant leakage</x:v>
      </x:c>
      <x:c r="G35" s="35" t="str">
        <x:v>'Participant-stratified' can mean either subject-independent splitting or the same subjects appearing in train and test.</x:v>
      </x:c>
      <x:c r="H35" s="35" t="str">
        <x:v>• List subject IDs in each split.
• Use a subject-independent evaluation for generalization claims.
• If within-subject evaluation is retained, label it clearly and avoid unseen-subject claims.</x:v>
      </x:c>
      <x:c r="I35" s="35" t="str">
        <x:v>Split membership is documented and no hidden subject overlap remains.</x:v>
      </x:c>
      <x:c r="J35" s="35" t="str">
        <x:v>Split manifest + revised evaluation description</x:v>
      </x:c>
      <x:c r="K35" s="35" t="str"/>
      <x:c r="L35" s="35" t="str">
        <x:v>Aditya</x:v>
      </x:c>
      <x:c r="M35" s="35" t="str">
        <x:v>Week 2</x:v>
      </x:c>
      <x:c r="N35" s="35" t="str">
        <x:v>Not Started</x:v>
      </x:c>
      <x:c r="O35" s="41" t="n">
        <x:v>0</x:v>
      </x:c>
      <x:c r="P35" s="35" t="str">
        <x:v>Yes</x:v>
      </x:c>
      <x:c r="Q35" s="35" t="str">
        <x:v>No</x:v>
      </x:c>
      <x:c r="R35" s="35" t="str">
        <x:v>Section IV-A</x:v>
      </x:c>
      <x:c r="S35" s="35" t="str">
        <x:v>R3/R4</x:v>
      </x:c>
      <x:c r="T35" s="35" t="str">
        <x:v>Resolution package added 2026-07-18; see columns U:Z. Keep task open until the stated evidence/acceptance test is satisfied.</x:v>
      </x:c>
      <x:c r="U35" s="148" t="str">
        <x:v>Use subject-independent GroupKFold/stratified group evaluation for generalization claims; report any within-subject result separately.</x:v>
      </x:c>
      <x:c r="V35" s="149" t="str">
        <x:v>'Participant-stratified' is ambiguous. If the same participant appears in train and test, identity embeddings and stable personal patterns can inflate performance.</x:v>
      </x:c>
      <x:c r="W35" s="149" t="str">
        <x:v>Publish split subject IDs or hashed IDs; split subjects before window creation; report fold-wise and aggregate metrics with no participant overlap.</x:v>
      </x:c>
      <x:c r="X35" s="149" t="str">
        <x:v>We clarified and enforced subject-independent evaluation for generalization, and label any within-subject experiment as a separate personalization setting.</x:v>
      </x:c>
      <x:c r="Y35" s="149" t="str">
        <x:v>Automated intersection check showing zero subject overlap; split manifest.</x:v>
      </x:c>
      <x:c r="Z35" s="150" t="str">
        <x:v>Protocol decided; rerun pending</x:v>
      </x:c>
    </x:row>
    <x:row r="36" ht="150" customHeight="1">
      <x:c r="A36" s="37" t="str">
        <x:v>V3-02</x:v>
      </x:c>
      <x:c r="B36" s="39" t="str">
        <x:v>3. Data &amp; Evaluation Integrity</x:v>
      </x:c>
      <x:c r="C36" s="35" t="str">
        <x:v>P0 Critical</x:v>
      </x:c>
      <x:c r="D36" s="35" t="str">
        <x:v>R6</x:v>
      </x:c>
      <x:c r="E36" s="35" t="str">
        <x:v>Data split</x:v>
      </x:c>
      <x:c r="F36" s="35" t="str">
        <x:v>Clarify and correct the DAIC-WOZ 107/82 split</x:v>
      </x:c>
      <x:c r="G36" s="35" t="str">
        <x:v>The common partition is 107 train, 35 development and 47 test; merging or relabeling requires explicit justification and label availability.</x:v>
      </x:c>
      <x:c r="H36" s="35" t="str">
        <x:v>• Document exactly which official partitions and labels were used.
• Explain whether development and test were combined.
• Prefer a standard, reproducible evaluation split and re-run results if necessary.</x:v>
      </x:c>
      <x:c r="I36" s="35" t="str">
        <x:v>The split is standard or fully justified, reproducible and comparable with prior work.</x:v>
      </x:c>
      <x:c r="J36" s="35" t="str">
        <x:v>Split manifest + rerun results if changed</x:v>
      </x:c>
      <x:c r="K36" s="35" t="str"/>
      <x:c r="L36" s="35" t="str">
        <x:v>Aditya</x:v>
      </x:c>
      <x:c r="M36" s="35" t="str">
        <x:v>Week 2</x:v>
      </x:c>
      <x:c r="N36" s="35" t="str">
        <x:v>Not Started</x:v>
      </x:c>
      <x:c r="O36" s="41" t="n">
        <x:v>0</x:v>
      </x:c>
      <x:c r="P36" s="35" t="str">
        <x:v>Yes</x:v>
      </x:c>
      <x:c r="Q36" s="35" t="str">
        <x:v>No</x:v>
      </x:c>
      <x:c r="R36" s="35" t="str">
        <x:v>Section IV-A</x:v>
      </x:c>
      <x:c r="S36" s="35" t="str">
        <x:v>R6</x:v>
      </x:c>
      <x:c r="T36" s="35" t="str">
        <x:v>Resolution package added 2026-07-18; see columns U:Z. Keep task open until the stated evidence/acceptance test is satisfied.</x:v>
      </x:c>
      <x:c r="U36" s="145" t="str">
        <x:v>Replace the unexplained 107/82 split with the official DAIC-WOZ partition protocol: 107 train, 35 development, and 47 test; use the 47 test set only through an authorized label/evaluation path. Otherwise report train/development results or subject-grouped cross-validation on the labeled 142 sessions.</x:v>
      </x:c>
      <x:c r="V36" s="146" t="str">
        <x:v>The submitted 82-session test combines official development and test counts without explaining label availability. That is not reproducible and may imply use of unavailable test labels.</x:v>
      </x:c>
      <x:c r="W36" s="146" t="str">
        <x:v>State exactly which sessions/labels are used, keep development for tuning, and never call a merged 82-session set 'standard'. Rerun all DAIC-WOZ tables under the chosen legitimate protocol.</x:v>
      </x:c>
      <x:c r="X36" s="146" t="str">
        <x:v>We agree that '107/82 standard split' was incorrect. We now follow and document the official partition/label-access protocol and reran the reported DAIC-WOZ results accordingly.</x:v>
      </x:c>
      <x:c r="Y36" s="146" t="str">
        <x:v>Partition manifest, label provenance and rerun logs.</x:v>
      </x:c>
      <x:c r="Z36" s="147" t="str">
        <x:v>Critical rerun required</x:v>
      </x:c>
    </x:row>
    <x:row r="37" ht="150" customHeight="1">
      <x:c r="A37" s="37" t="str">
        <x:v>V3-03</x:v>
      </x:c>
      <x:c r="B37" s="39" t="str">
        <x:v>3. Data &amp; Evaluation Integrity</x:v>
      </x:c>
      <x:c r="C37" s="35" t="str">
        <x:v>P0 Critical</x:v>
      </x:c>
      <x:c r="D37" s="35" t="str">
        <x:v>R4; R3</x:v>
      </x:c>
      <x:c r="E37" s="35" t="str">
        <x:v>Personalization leakage</x:v>
      </x:c>
      <x:c r="F37" s="35" t="str">
        <x:v>Define how subject embeddings are handled for held-out and unseen subjects</x:v>
      </x:c>
      <x:c r="G37" s="35" t="str">
        <x:v>A learned identity embedding can leak test-subject information if trained using all subject IDs.</x:v>
      </x:c>
      <x:c r="H37" s="35" t="str">
        <x:v>• State whether test subjects appear during training.
• Add an unknown-subject baseline and a support-set adaptation protocol.
• Separate within-subject personalization from unseen-subject generalization.</x:v>
      </x:c>
      <x:c r="I37" s="35" t="str">
        <x:v>No test-subject identity information is used improperly; cold-start performance is measured.</x:v>
      </x:c>
      <x:c r="J37" s="35" t="str">
        <x:v>Evaluation protocol + cold-start experiment plan</x:v>
      </x:c>
      <x:c r="K37" s="35" t="str">
        <x:v>V3-01; V3-02</x:v>
      </x:c>
      <x:c r="L37" s="35" t="str">
        <x:v>Aditya</x:v>
      </x:c>
      <x:c r="M37" s="35" t="str">
        <x:v>Week 2–3</x:v>
      </x:c>
      <x:c r="N37" s="35" t="str">
        <x:v>Not Started</x:v>
      </x:c>
      <x:c r="O37" s="41" t="n">
        <x:v>0</x:v>
      </x:c>
      <x:c r="P37" s="35" t="str">
        <x:v>Yes</x:v>
      </x:c>
      <x:c r="Q37" s="35" t="str">
        <x:v>No</x:v>
      </x:c>
      <x:c r="R37" s="35" t="str">
        <x:v>Section III-B.4; IV; VIII</x:v>
      </x:c>
      <x:c r="S37" s="35" t="str">
        <x:v>R3/R4</x:v>
      </x:c>
      <x:c r="T37" s="35" t="str">
        <x:v>Resolution package added 2026-07-18; see columns U:Z. Keep task open until the stated evidence/acceptance test is satisfied.</x:v>
      </x:c>
      <x:c r="U37" s="148" t="str">
        <x:v>Separate seen-subject personalization from unseen-subject generalization. Unseen subjects receive a global/UNK embedding; few-shot adaptation uses only a declared support set excluded from evaluation.</x:v>
      </x:c>
      <x:c r="V37" s="149" t="str">
        <x:v>A learned ID embedding for a test subject can encode training exposure or leak identity. Deployment claims concern new subjects, so cold-start behavior must be explicit.</x:v>
      </x:c>
      <x:c r="W37" s="149" t="str">
        <x:v>Add protocols and results for seen IDs, UNK embedding and k-shot support adaptation; state when embedding parameters are created and frozen.</x:v>
      </x:c>
      <x:c r="X37" s="149" t="str">
        <x:v>We now distinguish seen- and unseen-subject settings and added a leakage-free unknown-subject and support-set adaptation evaluation.</x:v>
      </x:c>
      <x:c r="Y37" s="149" t="str">
        <x:v>No test-subject IDs in training vocabulary; support/query separation check; cold-start table.</x:v>
      </x:c>
      <x:c r="Z37" s="150" t="str">
        <x:v>Protocol resolved; experiments pending</x:v>
      </x:c>
    </x:row>
    <x:row r="38" ht="150" customHeight="1">
      <x:c r="A38" s="37" t="str">
        <x:v>V3-04</x:v>
      </x:c>
      <x:c r="B38" s="39" t="str">
        <x:v>3. Data &amp; Evaluation Integrity</x:v>
      </x:c>
      <x:c r="C38" s="35" t="str">
        <x:v>P1 Major</x:v>
      </x:c>
      <x:c r="D38" s="35" t="str">
        <x:v>R3</x:v>
      </x:c>
      <x:c r="E38" s="35" t="str">
        <x:v>Preprocessing</x:v>
      </x:c>
      <x:c r="F38" s="35" t="str">
        <x:v>Document the complete preprocessing pipeline</x:v>
      </x:c>
      <x:c r="G38" s="35" t="str">
        <x:v>Reproducibility requires exact resampling, normalization, feature extraction and window construction details.</x:v>
      </x:c>
      <x:c r="H38" s="35" t="str">
        <x:v>• Specify software versions and parameters.
• Fit normalization only on training data.
• Publish scripts or pseudocode for every transformation.</x:v>
      </x:c>
      <x:c r="I38" s="35" t="str">
        <x:v>A new researcher can reproduce the model inputs from the raw/public data.</x:v>
      </x:c>
      <x:c r="J38" s="35" t="str">
        <x:v>Preprocessing appendix + scripts</x:v>
      </x:c>
      <x:c r="K38" s="35" t="str">
        <x:v>G0-09</x:v>
      </x:c>
      <x:c r="L38" s="35" t="str">
        <x:v>Aditya</x:v>
      </x:c>
      <x:c r="M38" s="35" t="str">
        <x:v>Week 3</x:v>
      </x:c>
      <x:c r="N38" s="35" t="str">
        <x:v>Not Started</x:v>
      </x:c>
      <x:c r="O38" s="41" t="n">
        <x:v>0</x:v>
      </x:c>
      <x:c r="P38" s="35" t="str">
        <x:v>No</x:v>
      </x:c>
      <x:c r="Q38" s="35" t="str">
        <x:v>No</x:v>
      </x:c>
      <x:c r="R38" s="35" t="str">
        <x:v>Section IV-A; Supplement</x:v>
      </x:c>
      <x:c r="S38" s="35" t="str">
        <x:v>R3</x:v>
      </x:c>
      <x:c r="T38" s="35" t="str">
        <x:v>Resolution package added 2026-07-18; see columns U:Z. Keep task open until the stated evidence/acceptance test is satisfied.</x:v>
      </x:c>
      <x:c r="U38" s="145" t="str">
        <x:v>Publish the full preprocessing pipeline with versioned parameters and fit every learned transform on training data only.</x:v>
      </x:c>
      <x:c r="V38" s="146" t="str">
        <x:v>Resampling, eGeMAPS extraction, normalization, imputation and windowing can materially change outcomes and are under-specified.</x:v>
      </x:c>
      <x:c r="W38" s="146" t="str">
        <x:v>Add a supplement table for source files, features, cadence, normalization, imputation, window length/stride, label alignment and software versions; release scripts where licenses permit.</x:v>
      </x:c>
      <x:c r="X38" s="146" t="str">
        <x:v>We expanded the preprocessing description and released/versioned the exact transformations used to regenerate model inputs.</x:v>
      </x:c>
      <x:c r="Y38" s="146" t="str">
        <x:v>End-to-end preprocessing command and checksum-matched output manifest.</x:v>
      </x:c>
      <x:c r="Z38" s="147" t="str">
        <x:v>Documentation and script verification pending</x:v>
      </x:c>
    </x:row>
    <x:row r="39" ht="150" customHeight="1">
      <x:c r="A39" s="37" t="str">
        <x:v>V3-05</x:v>
      </x:c>
      <x:c r="B39" s="39" t="str">
        <x:v>3. Data &amp; Evaluation Integrity</x:v>
      </x:c>
      <x:c r="C39" s="35" t="str">
        <x:v>P0 Critical</x:v>
      </x:c>
      <x:c r="D39" s="35" t="str">
        <x:v>R3</x:v>
      </x:c>
      <x:c r="E39" s="35" t="str">
        <x:v>Leakage</x:v>
      </x:c>
      <x:c r="F39" s="35" t="str">
        <x:v>Audit forward-fill and imputation for temporal leakage</x:v>
      </x:c>
      <x:c r="G39" s="35" t="str">
        <x:v>Imputation across split boundaries or from future observations can inflate performance.</x:v>
      </x:c>
      <x:c r="H39" s="35" t="str">
        <x:v>• Fit and apply imputation separately within each split and sequence.
• Prohibit backward information flow.
• Report missingness and imputation sensitivity.</x:v>
      </x:c>
      <x:c r="I39" s="35" t="str">
        <x:v>No preprocessing step uses future or test-set information.</x:v>
      </x:c>
      <x:c r="J39" s="35" t="str">
        <x:v>Leakage audit + sensitivity result</x:v>
      </x:c>
      <x:c r="K39" s="35" t="str">
        <x:v>V3-04</x:v>
      </x:c>
      <x:c r="L39" s="35" t="str">
        <x:v>Aditya</x:v>
      </x:c>
      <x:c r="M39" s="35" t="str">
        <x:v>Week 3</x:v>
      </x:c>
      <x:c r="N39" s="35" t="str">
        <x:v>Not Started</x:v>
      </x:c>
      <x:c r="O39" s="41" t="n">
        <x:v>0</x:v>
      </x:c>
      <x:c r="P39" s="35" t="str">
        <x:v>Yes</x:v>
      </x:c>
      <x:c r="Q39" s="35" t="str">
        <x:v>No</x:v>
      </x:c>
      <x:c r="R39" s="35" t="str">
        <x:v>Section IV-A</x:v>
      </x:c>
      <x:c r="S39" s="35" t="str">
        <x:v>R3</x:v>
      </x:c>
      <x:c r="T39" s="35" t="str">
        <x:v>Resolution package added 2026-07-18; see columns U:Z. Keep task open until the stated evidence/acceptance test is satisfied.</x:v>
      </x:c>
      <x:c r="U39" s="148" t="str">
        <x:v>Permit forward fill only within each subject/session using past observations; reset at split/session boundaries and add missing indicators. Never backward-fill from future data.</x:v>
      </x:c>
      <x:c r="V39" s="149" t="str">
        <x:v>Global or cross-boundary imputation can leak future or test information, especially in longitudinal windows.</x:v>
      </x:c>
      <x:c r="W39" s="149" t="str">
        <x:v>Specify initialization for leading missing values using training-set statistics, report missingness, and run a no-imputation/alternative-imputation sensitivity check.</x:v>
      </x:c>
      <x:c r="X39" s="149" t="str">
        <x:v>We revised imputation to be strictly causal and split-local and added a sensitivity analysis and missingness report.</x:v>
      </x:c>
      <x:c r="Y39" s="149" t="str">
        <x:v>Leakage unit tests and imputation sensitivity table.</x:v>
      </x:c>
      <x:c r="Z39" s="150" t="str">
        <x:v>Method decided; rerun pending</x:v>
      </x:c>
    </x:row>
    <x:row r="40" ht="150" customHeight="1">
      <x:c r="A40" s="37" t="str">
        <x:v>V3-06</x:v>
      </x:c>
      <x:c r="B40" s="39" t="str">
        <x:v>3. Data &amp; Evaluation Integrity</x:v>
      </x:c>
      <x:c r="C40" s="35" t="str">
        <x:v>P1 Major</x:v>
      </x:c>
      <x:c r="D40" s="35" t="str">
        <x:v>R3</x:v>
      </x:c>
      <x:c r="E40" s="35" t="str">
        <x:v>Window leakage</x:v>
      </x:c>
      <x:c r="F40" s="35" t="str">
        <x:v>Audit overlapping windows and duplicate temporal content across splits</x:v>
      </x:c>
      <x:c r="G40" s="35" t="str">
        <x:v>Highly overlapping windows can place nearly identical observations in training and test sets.</x:v>
      </x:c>
      <x:c r="H40" s="35" t="str">
        <x:v>• Measure overlap between windows across splits.
• Split by subject/session before window generation where possible.
• Document exclusion gaps if needed.</x:v>
      </x:c>
      <x:c r="I40" s="35" t="str">
        <x:v>Train and test examples do not share overlapping raw intervals.</x:v>
      </x:c>
      <x:c r="J40" s="35" t="str">
        <x:v>Window-overlap audit</x:v>
      </x:c>
      <x:c r="K40" s="35" t="str">
        <x:v>V3-01; V3-02; V3-04</x:v>
      </x:c>
      <x:c r="L40" s="35" t="str">
        <x:v>Aditya</x:v>
      </x:c>
      <x:c r="M40" s="35" t="str">
        <x:v>Week 3</x:v>
      </x:c>
      <x:c r="N40" s="35" t="str">
        <x:v>Not Started</x:v>
      </x:c>
      <x:c r="O40" s="41" t="n">
        <x:v>0</x:v>
      </x:c>
      <x:c r="P40" s="35" t="str">
        <x:v>Yes</x:v>
      </x:c>
      <x:c r="Q40" s="35" t="str">
        <x:v>No</x:v>
      </x:c>
      <x:c r="R40" s="35" t="str">
        <x:v>Section IV-A</x:v>
      </x:c>
      <x:c r="S40" s="35" t="str">
        <x:v>R3</x:v>
      </x:c>
      <x:c r="T40" s="35" t="str">
        <x:v>Resolution package added 2026-07-18; see columns U:Z. Keep task open until the stated evidence/acceptance test is satisfied.</x:v>
      </x:c>
      <x:c r="U40" s="145" t="str">
        <x:v>Split by subject/session before generating windows and prohibit overlapping raw timesteps across folds; use an exclusion gap if a chronological within-subject split is reported.</x:v>
      </x:c>
      <x:c r="V40" s="146" t="str">
        <x:v>Overlapping windows created before splitting can place near-duplicates in train and test and substantially inflate F1.</x:v>
      </x:c>
      <x:c r="W40" s="146" t="str">
        <x:v>Report window length/stride, overlap rate and a hash/interval-based leakage audit; regenerate all windows after the corrected split.</x:v>
      </x:c>
      <x:c r="X40" s="146" t="str">
        <x:v>We rebuilt windows after group splitting and verified that no raw temporal interval is shared across evaluation partitions.</x:v>
      </x:c>
      <x:c r="Y40" s="146" t="str">
        <x:v>Interval-overlap audit with zero cross-split overlap.</x:v>
      </x:c>
      <x:c r="Z40" s="147" t="str">
        <x:v>Critical data rebuild/rerun pending</x:v>
      </x:c>
    </x:row>
    <x:row r="41" ht="150" customHeight="1">
      <x:c r="A41" s="37" t="str">
        <x:v>V3-07</x:v>
      </x:c>
      <x:c r="B41" s="39" t="str">
        <x:v>3. Data &amp; Evaluation Integrity</x:v>
      </x:c>
      <x:c r="C41" s="35" t="str">
        <x:v>P1 Major</x:v>
      </x:c>
      <x:c r="D41" s="35" t="str">
        <x:v>R3</x:v>
      </x:c>
      <x:c r="E41" s="35" t="str">
        <x:v>Class balance</x:v>
      </x:c>
      <x:c r="F41" s="35" t="str">
        <x:v>Report class distributions and imbalance handling</x:v>
      </x:c>
      <x:c r="G41" s="35" t="str">
        <x:v>Macro F1 alone does not show whether rare classes or thresholds drive the gains.</x:v>
      </x:c>
      <x:c r="H41" s="35" t="str">
        <x:v>• Report train/validation/test counts by class and subject.
• Document weighting or sampling.
• Add per-class precision, recall and F1.</x:v>
      </x:c>
      <x:c r="I41" s="35" t="str">
        <x:v>Class balance and per-class results are fully reported.</x:v>
      </x:c>
      <x:c r="J41" s="35" t="str">
        <x:v>Dataset statistics table + per-class metrics</x:v>
      </x:c>
      <x:c r="K41" s="35" t="str">
        <x:v>V3-01; V3-02</x:v>
      </x:c>
      <x:c r="L41" s="35" t="str">
        <x:v>Aditya</x:v>
      </x:c>
      <x:c r="M41" s="35" t="str">
        <x:v>Week 3</x:v>
      </x:c>
      <x:c r="N41" s="35" t="str">
        <x:v>Not Started</x:v>
      </x:c>
      <x:c r="O41" s="41" t="n">
        <x:v>0</x:v>
      </x:c>
      <x:c r="P41" s="35" t="str">
        <x:v>No</x:v>
      </x:c>
      <x:c r="Q41" s="35" t="str">
        <x:v>No</x:v>
      </x:c>
      <x:c r="R41" s="35" t="str">
        <x:v>Section IV; Results</x:v>
      </x:c>
      <x:c r="S41" s="35" t="str">
        <x:v>R3</x:v>
      </x:c>
      <x:c r="T41" s="35" t="str">
        <x:v>Resolution package added 2026-07-18; see columns U:Z. Keep task open until the stated evidence/acceptance test is satisfied.</x:v>
      </x:c>
      <x:c r="U41" s="148" t="str">
        <x:v>Report class counts by split and subject plus per-class precision, recall and F1; document weighting/sampling and threshold selection.</x:v>
      </x:c>
      <x:c r="V41" s="149" t="str">
        <x:v>Macro F1 hides whether gains arise from a rare class, threshold tuning or subject composition and is insufficient for clinical-adjacent claims.</x:v>
      </x:c>
      <x:c r="W41" s="149" t="str">
        <x:v>Add a dataset statistics table and confusion/per-class tables for every primary evaluation protocol.</x:v>
      </x:c>
      <x:c r="X41" s="149" t="str">
        <x:v>We added class-distribution and per-class performance reporting and made imbalance handling and threshold selection explicit.</x:v>
      </x:c>
      <x:c r="Y41" s="149" t="str">
        <x:v>Counts reconcile with split manifest and confusion matrices.</x:v>
      </x:c>
      <x:c r="Z41" s="150" t="str">
        <x:v>Reporting plan complete; values require rerun</x:v>
      </x:c>
    </x:row>
    <x:row r="42" ht="150" customHeight="1">
      <x:c r="A42" s="37" t="str">
        <x:v>V3-08</x:v>
      </x:c>
      <x:c r="B42" s="39" t="str">
        <x:v>3. Data &amp; Evaluation Integrity</x:v>
      </x:c>
      <x:c r="C42" s="35" t="str">
        <x:v>P1 Major</x:v>
      </x:c>
      <x:c r="D42" s="35" t="str">
        <x:v>R3; R6</x:v>
      </x:c>
      <x:c r="E42" s="35" t="str">
        <x:v>Determinism</x:v>
      </x:c>
      <x:c r="F42" s="35" t="str">
        <x:v>Specify seeds, determinism settings and repeated-run protocol</x:v>
      </x:c>
      <x:c r="G42" s="35" t="str">
        <x:v>Reported variance is meaningful only when the source of randomness and run protocol are controlled.</x:v>
      </x:c>
      <x:c r="H42" s="35" t="str">
        <x:v>• List all seeds.
• Document deterministic/non-deterministic CUDA settings.
• Use the same seed schedule across baselines.</x:v>
      </x:c>
      <x:c r="I42" s="35" t="str">
        <x:v>Every experiment has a documented, repeatable seed and environment policy.</x:v>
      </x:c>
      <x:c r="J42" s="35" t="str">
        <x:v>Run protocol table</x:v>
      </x:c>
      <x:c r="K42" s="35" t="str">
        <x:v>G0-09</x:v>
      </x:c>
      <x:c r="L42" s="35" t="str">
        <x:v>Aditya</x:v>
      </x:c>
      <x:c r="M42" s="35" t="str">
        <x:v>Week 3</x:v>
      </x:c>
      <x:c r="N42" s="35" t="str">
        <x:v>Not Started</x:v>
      </x:c>
      <x:c r="O42" s="41" t="n">
        <x:v>0</x:v>
      </x:c>
      <x:c r="P42" s="35" t="str">
        <x:v>No</x:v>
      </x:c>
      <x:c r="Q42" s="35" t="str">
        <x:v>No</x:v>
      </x:c>
      <x:c r="R42" s="35" t="str">
        <x:v>Section IV-D</x:v>
      </x:c>
      <x:c r="S42" s="35" t="str">
        <x:v>R3/R6</x:v>
      </x:c>
      <x:c r="T42" s="35" t="str">
        <x:v>Resolution package added 2026-07-18; see columns U:Z. Keep task open until the stated evidence/acceptance test is satisfied.</x:v>
      </x:c>
      <x:c r="U42" s="145" t="str">
        <x:v>Use an identical preregistered seed list across paired methods and document deterministic flags and remaining nondeterminism.</x:v>
      </x:c>
      <x:c r="V42" s="146" t="str">
        <x:v>Paired statistical tests are invalid if methods use unrelated randomization, and GPU kernels may add variance beyond the nominal seed.</x:v>
      </x:c>
      <x:c r="W42" s="146" t="str">
        <x:v>List Python/NumPy/PyTorch/CUDA seeds, cudnn settings, data-loader worker seeds and library versions; retain failed runs with reasons.</x:v>
      </x:c>
      <x:c r="X42" s="146" t="str">
        <x:v>We standardized the repeated-run protocol and documented both controlled seeds and unavoidable nondeterminism.</x:v>
      </x:c>
      <x:c r="Y42" s="146" t="str">
        <x:v>Config files and run manifest with common seed IDs.</x:v>
      </x:c>
      <x:c r="Z42" s="147" t="str">
        <x:v>Protocol resolved; execution pending</x:v>
      </x:c>
    </x:row>
    <x:row r="43" ht="150" customHeight="1">
      <x:c r="A43" s="37" t="str">
        <x:v>V3-09</x:v>
      </x:c>
      <x:c r="B43" s="39" t="str">
        <x:v>3. Data &amp; Evaluation Integrity</x:v>
      </x:c>
      <x:c r="C43" s="35" t="str">
        <x:v>P1 Major</x:v>
      </x:c>
      <x:c r="D43" s="35" t="str">
        <x:v>R2; R3</x:v>
      </x:c>
      <x:c r="E43" s="35" t="str">
        <x:v>Sample accounting</x:v>
      </x:c>
      <x:c r="F43" s="35" t="str">
        <x:v>Reconcile subjects, sessions, windows and labelled-sample counts</x:v>
      </x:c>
      <x:c r="G43" s="35" t="str">
        <x:v>Scalability motivation can be distorted if sample counts and sequence lengths are not clearly separated.</x:v>
      </x:c>
      <x:c r="H43" s="35" t="str">
        <x:v>• Report subjects, sessions, windows, sequence-length distribution and total timesteps.
• Clarify whether samples are independent.
• Use these values in the compute-motivation discussion.</x:v>
      </x:c>
      <x:c r="I43" s="35" t="str">
        <x:v>Dataset-scale claims use precise and consistent units.</x:v>
      </x:c>
      <x:c r="J43" s="35" t="str">
        <x:v>Dataset accounting table</x:v>
      </x:c>
      <x:c r="K43" s="35" t="str">
        <x:v>V3-01; V3-02</x:v>
      </x:c>
      <x:c r="L43" s="35" t="str">
        <x:v>Aditya</x:v>
      </x:c>
      <x:c r="M43" s="35" t="str">
        <x:v>Week 3</x:v>
      </x:c>
      <x:c r="N43" s="35" t="str">
        <x:v>Not Started</x:v>
      </x:c>
      <x:c r="O43" s="41" t="n">
        <x:v>0</x:v>
      </x:c>
      <x:c r="P43" s="35" t="str">
        <x:v>No</x:v>
      </x:c>
      <x:c r="Q43" s="35" t="str">
        <x:v>No</x:v>
      </x:c>
      <x:c r="R43" s="35" t="str">
        <x:v>Section IV-A; Introduction</x:v>
      </x:c>
      <x:c r="S43" s="35" t="str">
        <x:v>R2/R3</x:v>
      </x:c>
      <x:c r="T43" s="35" t="str">
        <x:v>Resolution package added 2026-07-18; see columns U:Z. Keep task open until the stated evidence/acceptance test is satisfied.</x:v>
      </x:c>
      <x:c r="U43" s="148" t="str">
        <x:v>Reconcile subjects, sessions, windows, timesteps and labels in one accounting table and stop treating windows as independent participants.</x:v>
      </x:c>
      <x:c r="V43" s="149" t="str">
        <x:v>The motivation and compute discussion can be misleading when correlated windows are counted as independent samples.</x:v>
      </x:c>
      <x:c r="W43" s="149" t="str">
        <x:v>Add per-dataset counts before/after filtering, sequence-length distribution and effective evaluation unit; base CIs/splits on subjects where appropriate.</x:v>
      </x:c>
      <x:c r="X43" s="149" t="str">
        <x:v>We added transparent sample accounting and distinguished participants, sessions and correlated windows throughout the manuscript.</x:v>
      </x:c>
      <x:c r="Y43" s="149" t="str">
        <x:v>Counts reproduce from preprocessing logs and sum to model inputs.</x:v>
      </x:c>
      <x:c r="Z43" s="150" t="str">
        <x:v>Reporting pending data pipeline</x:v>
      </x:c>
    </x:row>
    <x:row r="44" ht="150" customHeight="1">
      <x:c r="A44" s="37" t="str">
        <x:v>V3-10</x:v>
      </x:c>
      <x:c r="B44" s="39" t="str">
        <x:v>3. Data &amp; Evaluation Integrity</x:v>
      </x:c>
      <x:c r="C44" s="35" t="str">
        <x:v>P2 Supporting</x:v>
      </x:c>
      <x:c r="D44" s="35" t="str">
        <x:v>Editor</x:v>
      </x:c>
      <x:c r="E44" s="35" t="str">
        <x:v>Ethics / data use</x:v>
      </x:c>
      <x:c r="F44" s="35" t="str">
        <x:v>Confirm dataset permissions, ethics statements and clinical-claim boundaries</x:v>
      </x:c>
      <x:c r="G44" s="35" t="str">
        <x:v>Cognitive and depression modeling require careful wording about screening versus diagnosis.</x:v>
      </x:c>
      <x:c r="H44" s="35" t="str">
        <x:v>• Verify data-use terms.
• State that outputs are research classifications, not clinical diagnoses.
• Update ethics and limitations language.</x:v>
      </x:c>
      <x:c r="I44" s="35" t="str">
        <x:v>Data-use and clinical-boundary statements are accurate and complete.</x:v>
      </x:c>
      <x:c r="J44" s="35" t="str">
        <x:v>Approved ethics/limitations text</x:v>
      </x:c>
      <x:c r="K44" s="35" t="str"/>
      <x:c r="L44" s="35" t="str">
        <x:v>Aditya + Guide</x:v>
      </x:c>
      <x:c r="M44" s="35" t="str">
        <x:v>Week 4</x:v>
      </x:c>
      <x:c r="N44" s="35" t="str">
        <x:v>Not Started</x:v>
      </x:c>
      <x:c r="O44" s="41" t="n">
        <x:v>0</x:v>
      </x:c>
      <x:c r="P44" s="35" t="str">
        <x:v>No</x:v>
      </x:c>
      <x:c r="Q44" s="35" t="str">
        <x:v>No</x:v>
      </x:c>
      <x:c r="R44" s="35" t="str">
        <x:v>Section IV-A; Limitations</x:v>
      </x:c>
      <x:c r="S44" s="35" t="str">
        <x:v>Editor</x:v>
      </x:c>
      <x:c r="T44" s="35" t="str">
        <x:v>Resolution package added 2026-07-18; see columns U:Z. Keep task open until the stated evidence/acceptance test is satisfied.</x:v>
      </x:c>
      <x:c r="U44" s="145" t="str">
        <x:v>Describe outputs as research classification/screening signals, not diagnosis; confirm dataset terms and ethics approvals/waivers.</x:v>
      </x:c>
      <x:c r="V44" s="146" t="str">
        <x:v>DAIC-WOZ PHQ-8 thresholding is not a clinical diagnosis, and overstatement creates ethical and validity risk.</x:v>
      </x:c>
      <x:c r="W44" s="146" t="str">
        <x:v>Replace diagnostic language, add data-use/ethics statements, privacy limits and a no-clinical-deployment disclaimer.</x:v>
      </x:c>
      <x:c r="X44" s="146" t="str">
        <x:v>We clarified the non-clinical scope, data permissions and ethical limitations of the study.</x:v>
      </x:c>
      <x:c r="Y44" s="146" t="str">
        <x:v>Dataset agreements/ethics statement reviewed by both authors.</x:v>
      </x:c>
      <x:c r="Z44" s="147" t="str">
        <x:v>Text correction resolved; institutional confirmation pending</x:v>
      </x:c>
    </x:row>
    <x:row r="45" ht="150" customHeight="1">
      <x:c r="A45" s="37" t="str">
        <x:v>E4-01</x:v>
      </x:c>
      <x:c r="B45" s="39" t="str">
        <x:v>4. Experiments &amp; Benchmarking</x:v>
      </x:c>
      <x:c r="C45" s="35" t="str">
        <x:v>P0 Critical</x:v>
      </x:c>
      <x:c r="D45" s="35" t="str">
        <x:v>R2; R6</x:v>
      </x:c>
      <x:c r="E45" s="35" t="str">
        <x:v>Baseline fairness</x:v>
      </x:c>
      <x:c r="F45" s="35" t="str">
        <x:v>Audit fairness of all baseline configurations</x:v>
      </x:c>
      <x:c r="G45" s="35" t="str">
        <x:v>A 1.1-point DDP degradation cannot support a causal claim unless batch size, optimizer and sampler confounders are controlled.</x:v>
      </x:c>
      <x:c r="H45" s="35" t="str">
        <x:v>• Match effective global batch size or report it explicitly.
• Tune learning rate for each effective batch size.
• Use identical data splits, preprocessing, early stopping and seed schedule.</x:v>
      </x:c>
      <x:c r="I45" s="35" t="str">
        <x:v>Baseline differences cannot be explained by avoidable training-protocol mismatches.</x:v>
      </x:c>
      <x:c r="J45" s="35" t="str">
        <x:v>Baseline fairness table + configs</x:v>
      </x:c>
      <x:c r="K45" s="35" t="str">
        <x:v>V3-01:V3-09</x:v>
      </x:c>
      <x:c r="L45" s="35" t="str">
        <x:v>Aditya</x:v>
      </x:c>
      <x:c r="M45" s="35" t="str">
        <x:v>Week 3</x:v>
      </x:c>
      <x:c r="N45" s="35" t="str">
        <x:v>Not Started</x:v>
      </x:c>
      <x:c r="O45" s="41" t="n">
        <x:v>0</x:v>
      </x:c>
      <x:c r="P45" s="35" t="str">
        <x:v>Yes</x:v>
      </x:c>
      <x:c r="Q45" s="35" t="str">
        <x:v>No</x:v>
      </x:c>
      <x:c r="R45" s="35" t="str">
        <x:v>Section IV-B/D</x:v>
      </x:c>
      <x:c r="S45" s="35" t="str">
        <x:v>R2/R6</x:v>
      </x:c>
      <x:c r="T45" s="35" t="str">
        <x:v>Resolution package added 2026-07-18; see columns U:Z. Keep task open until the stated evidence/acceptance test is satisfied.</x:v>
      </x:c>
      <x:c r="U45" s="148" t="str">
        <x:v>Rebuild baseline comparisons with matched splits, preprocessing, effective batch size, training budget and seed list; tune learning rate for each effective batch regime.</x:v>
      </x:c>
      <x:c r="V45" s="149" t="str">
        <x:v>The reported 1.1-point DDP drop is too small to attribute mechanistically while optimization and sampling confounders remain.</x:v>
      </x:c>
      <x:c r="W45" s="149" t="str">
        <x:v>Publish baseline hyperparameters and tuning ranges; compare matched-global-batch and matched-per-worker-batch variants rather than one arbitrary setting.</x:v>
      </x:c>
      <x:c r="X45" s="149" t="str">
        <x:v>We reran baselines under matched and documented conditions and no longer attribute differences to temporal inconsistency without controlled evidence.</x:v>
      </x:c>
      <x:c r="Y45" s="149" t="str">
        <x:v>Config diff, tuning log and paired-run table.</x:v>
      </x:c>
      <x:c r="Z45" s="150" t="str">
        <x:v>Critical rerun pending</x:v>
      </x:c>
    </x:row>
    <x:row r="46" ht="150" customHeight="1">
      <x:c r="A46" s="37" t="str">
        <x:v>E4-02</x:v>
      </x:c>
      <x:c r="B46" s="39" t="str">
        <x:v>4. Experiments &amp; Benchmarking</x:v>
      </x:c>
      <x:c r="C46" s="35" t="str">
        <x:v>P0 Critical</x:v>
      </x:c>
      <x:c r="D46" s="35" t="str">
        <x:v>R1; R2; R6</x:v>
      </x:c>
      <x:c r="E46" s="35" t="str">
        <x:v>Causal claim test</x:v>
      </x:c>
      <x:c r="F46" s="35" t="str">
        <x:v>Run controlled DDP experiments that isolate the proposed temporal-inconsistency mechanism</x:v>
      </x:c>
      <x:c r="G46" s="35" t="str">
        <x:v>The current comparison does not establish that temporal causality, rather than optimization configuration, causes degradation.</x:v>
      </x:c>
      <x:c r="H46" s="35" t="str">
        <x:v>• Compare DDP with matched global batch size and tuned learning rate.
• Compare random versus chronological window assignment.
• Compare stateful versus stateless sequence handling and overlap/no-overlap conditions.</x:v>
      </x:c>
      <x:c r="I46" s="35" t="str">
        <x:v>The specific failure mode is isolated with controls, or the general DDP-causality claim is withdrawn.</x:v>
      </x:c>
      <x:c r="J46" s="35" t="str">
        <x:v>Controlled experiment table + analysis</x:v>
      </x:c>
      <x:c r="K46" s="35" t="str">
        <x:v>D1-03; E4-01</x:v>
      </x:c>
      <x:c r="L46" s="35" t="str">
        <x:v>Aditya</x:v>
      </x:c>
      <x:c r="M46" s="35" t="str">
        <x:v>Week 3–4</x:v>
      </x:c>
      <x:c r="N46" s="35" t="str">
        <x:v>Not Started</x:v>
      </x:c>
      <x:c r="O46" s="41" t="n">
        <x:v>0</x:v>
      </x:c>
      <x:c r="P46" s="35" t="str">
        <x:v>Yes</x:v>
      </x:c>
      <x:c r="Q46" s="35" t="str">
        <x:v>No</x:v>
      </x:c>
      <x:c r="R46" s="35" t="str">
        <x:v>Results; Discussion VII-C</x:v>
      </x:c>
      <x:c r="S46" s="35" t="str">
        <x:v>R1/R2/R6</x:v>
      </x:c>
      <x:c r="T46" s="35" t="str">
        <x:v>Resolution package added 2026-07-18; see columns U:Z. Keep task open until the stated evidence/acceptance test is satisfied.</x:v>
      </x:c>
      <x:c r="U46" s="145" t="str">
        <x:v>Run the causal-mechanism matrix (matched batch/LR; chronological vs random; stateful vs stateless; overlap vs no overlap). If no stable interaction supports the mechanism, delete the causal explanation.</x:v>
      </x:c>
      <x:c r="V46" s="146" t="str">
        <x:v>Only a controlled interaction can distinguish temporal-order effects from ordinary optimization variance.</x:v>
      </x:c>
      <x:c r="W46" s="146" t="str">
        <x:v>Add a factorial table with effect estimates/CIs and describe the finding as conditional; do not use a single DDP-LSTM comparison as proof.</x:v>
      </x:c>
      <x:c r="X46" s="146" t="str">
        <x:v>We tested the proposed mechanism under controlled sequence and optimization conditions and limited the claim to the configurations supported by the results.</x:v>
      </x:c>
      <x:c r="Y46" s="146" t="str">
        <x:v>EX-01 logs, paired statistics and interaction plot.</x:v>
      </x:c>
      <x:c r="Z46" s="147" t="str">
        <x:v>Experiment required; default fallback is claim removal</x:v>
      </x:c>
    </x:row>
    <x:row r="47" ht="150" customHeight="1">
      <x:c r="A47" s="37" t="str">
        <x:v>E4-03</x:v>
      </x:c>
      <x:c r="B47" s="39" t="str">
        <x:v>4. Experiments &amp; Benchmarking</x:v>
      </x:c>
      <x:c r="C47" s="35" t="str">
        <x:v>P0 Critical</x:v>
      </x:c>
      <x:c r="D47" s="35" t="str">
        <x:v>R2; R3; R6</x:v>
      </x:c>
      <x:c r="E47" s="35" t="str">
        <x:v>Systems validation</x:v>
      </x:c>
      <x:c r="F47" s="35" t="str">
        <x:v>Run true multi-node experiments if the distributed scope is retained</x:v>
      </x:c>
      <x:c r="G47" s="35" t="str">
        <x:v>Physical hosts introduce network stack, NIC, congestion, NUMA and straggler effects absent from NVLink emulation.</x:v>
      </x:c>
      <x:c r="H47" s="35" t="str">
        <x:v>• Use at least 2 and preferably 4 physical hosts.
• Report GPU, CPU, NIC, topology, RTT, bandwidth, software stack and repeated runs.
• Include DDP and D-MSTCN under identical conditions.</x:v>
      </x:c>
      <x:c r="I47" s="35" t="str">
        <x:v>At least one genuine multi-node result supports every retained physical-cluster claim.</x:v>
      </x:c>
      <x:c r="J47" s="35" t="str">
        <x:v>Hardware manifest + multi-node result tables</x:v>
      </x:c>
      <x:c r="K47" s="35" t="str">
        <x:v>D1-01</x:v>
      </x:c>
      <x:c r="L47" s="35" t="str">
        <x:v>Aditya + Infra support</x:v>
      </x:c>
      <x:c r="M47" s="35" t="str">
        <x:v>Week 4–5</x:v>
      </x:c>
      <x:c r="N47" s="35" t="str">
        <x:v>Not Started</x:v>
      </x:c>
      <x:c r="O47" s="41" t="n">
        <x:v>0</x:v>
      </x:c>
      <x:c r="P47" s="35" t="str">
        <x:v>Yes</x:v>
      </x:c>
      <x:c r="Q47" s="35" t="str">
        <x:v>No</x:v>
      </x:c>
      <x:c r="R47" s="35" t="str">
        <x:v>Section IV-E; V-B</x:v>
      </x:c>
      <x:c r="S47" s="35" t="str">
        <x:v>R2/R3/R6</x:v>
      </x:c>
      <x:c r="T47" s="35" t="str">
        <x:v>Resolution package added 2026-07-18; see columns U:Z. Keep task open until the stated evidence/acceptance test is satisfied.</x:v>
      </x:c>
      <x:c r="U47" s="148" t="str">
        <x:v>Under the chosen single-server scope, do not claim true multi-node validation and do not require new cluster results for the core resubmission. Add physical-host experiments only if the authors reverse DEC-01 and can execute them rigorously.</x:v>
      </x:c>
      <x:c r="V47" s="149" t="str">
        <x:v>Scope reduction directly resolves the evidence mismatch without fabricating or rushing a weak cluster study.</x:v>
      </x:c>
      <x:c r="W47" s="149" t="str">
        <x:v>Remove multi-node language; state that physical-host behavior remains future work. If added, report 2/4 hosts, NIC/topology/RTT and repeated runs as a separate experiment.</x:v>
      </x:c>
      <x:c r="X47" s="149" t="str">
        <x:v>We resolved this concern by narrowing the systems scope to the hardware actually evaluated; physical multi-host validation is no longer claimed.</x:v>
      </x:c>
      <x:c r="Y47" s="149" t="str">
        <x:v>Final manuscript contains no physical multi-node performance claim.</x:v>
      </x:c>
      <x:c r="Z47" s="150" t="str">
        <x:v>Resolved by scope reduction</x:v>
      </x:c>
    </x:row>
    <x:row r="48" ht="150" customHeight="1">
      <x:c r="A48" s="37" t="str">
        <x:v>E4-04</x:v>
      </x:c>
      <x:c r="B48" s="39" t="str">
        <x:v>4. Experiments &amp; Benchmarking</x:v>
      </x:c>
      <x:c r="C48" s="35" t="str">
        <x:v>P1 Major</x:v>
      </x:c>
      <x:c r="D48" s="35" t="str">
        <x:v>R2; R3</x:v>
      </x:c>
      <x:c r="E48" s="35" t="str">
        <x:v>Scale validation</x:v>
      </x:c>
      <x:c r="F48" s="35" t="str">
        <x:v>Add synthetic or replicated longitudinal workloads at larger scale</x:v>
      </x:c>
      <x:c r="G48" s="35" t="str">
        <x:v>Public cognitive datasets are too small to test the systems motivation directly.</x:v>
      </x:c>
      <x:c r="H48" s="35" t="str">
        <x:v>• Create transparent synthetic workloads varying participants, sequence length and feature count.
• Preserve the model's compute and communication characteristics.
• Clearly separate synthetic scalability from predictive-validity claims.</x:v>
      </x:c>
      <x:c r="I48" s="35" t="str">
        <x:v>Scaling behavior is evaluated across a workload range that stresses the system.</x:v>
      </x:c>
      <x:c r="J48" s="35" t="str">
        <x:v>Synthetic workload generator + scaling curves</x:v>
      </x:c>
      <x:c r="K48" s="35" t="str">
        <x:v>D1-02</x:v>
      </x:c>
      <x:c r="L48" s="35" t="str">
        <x:v>Aditya</x:v>
      </x:c>
      <x:c r="M48" s="35" t="str">
        <x:v>Week 4</x:v>
      </x:c>
      <x:c r="N48" s="35" t="str">
        <x:v>Not Started</x:v>
      </x:c>
      <x:c r="O48" s="41" t="n">
        <x:v>0</x:v>
      </x:c>
      <x:c r="P48" s="35" t="str">
        <x:v>No</x:v>
      </x:c>
      <x:c r="Q48" s="35" t="str">
        <x:v>No</x:v>
      </x:c>
      <x:c r="R48" s="35" t="str">
        <x:v>Section IV/V; Supplement</x:v>
      </x:c>
      <x:c r="S48" s="35" t="str">
        <x:v>R2/R3</x:v>
      </x:c>
      <x:c r="T48" s="35" t="str">
        <x:v>Resolution package added 2026-07-18; see columns U:Z. Keep task open until the stated evidence/acceptance test is satisfied.</x:v>
      </x:c>
      <x:c r="U48" s="145" t="str">
        <x:v>Do not use synthetic workloads to support predictive validity. Optional synthetic scaling may appear only as a clearly labeled systems stress test; population-scale language remains removed.</x:v>
      </x:c>
      <x:c r="V48" s="146" t="str">
        <x:v>Synthetic replication can test throughput/memory but cannot establish cognitive generalization or participant diversity.</x:v>
      </x:c>
      <x:c r="W48" s="146" t="str">
        <x:v>If included, publish the generator and vary B/T/d transparently; otherwise state dataset scale as a limitation and omit large-cohort claims.</x:v>
      </x:c>
      <x:c r="X48" s="146" t="str">
        <x:v>We separated systems stress testing from predictive evaluation and removed any implication that synthetic scale establishes cognitive validity.</x:v>
      </x:c>
      <x:c r="Y48" s="146" t="str">
        <x:v>Generator/configs and explicit synthetic labels, or confirmation that the claims were removed.</x:v>
      </x:c>
      <x:c r="Z48" s="147" t="str">
        <x:v>Optional after scope reduction</x:v>
      </x:c>
    </x:row>
    <x:row r="49" ht="150" customHeight="1">
      <x:c r="A49" s="37" t="str">
        <x:v>E4-05</x:v>
      </x:c>
      <x:c r="B49" s="39" t="str">
        <x:v>4. Experiments &amp; Benchmarking</x:v>
      </x:c>
      <x:c r="C49" s="35" t="str">
        <x:v>P1 Major</x:v>
      </x:c>
      <x:c r="D49" s="35" t="str">
        <x:v>R2; R6</x:v>
      </x:c>
      <x:c r="E49" s="35" t="str">
        <x:v>Network robustness</x:v>
      </x:c>
      <x:c r="F49" s="35" t="str">
        <x:v>Benchmark bandwidth, RTT, jitter, packet loss and straggler sensitivity</x:v>
      </x:c>
      <x:c r="G49" s="35" t="str">
        <x:v>Bandwidth alone does not model real distributed execution.</x:v>
      </x:c>
      <x:c r="H49" s="35" t="str">
        <x:v>• Test a matrix of RTT and bandwidth values.
• Inject controlled stragglers and jitter.
• Report mean, variance and tail latency.</x:v>
      </x:c>
      <x:c r="I49" s="35" t="str">
        <x:v>The paper quantifies where the approach helps and where it fails.</x:v>
      </x:c>
      <x:c r="J49" s="35" t="str">
        <x:v>Robustness curves + bottleneck analysis</x:v>
      </x:c>
      <x:c r="K49" s="35" t="str">
        <x:v>E4-03 or D1-01 Option B</x:v>
      </x:c>
      <x:c r="L49" s="35" t="str">
        <x:v>Aditya</x:v>
      </x:c>
      <x:c r="M49" s="35" t="str">
        <x:v>Week 4–5</x:v>
      </x:c>
      <x:c r="N49" s="35" t="str">
        <x:v>Not Started</x:v>
      </x:c>
      <x:c r="O49" s="41" t="n">
        <x:v>0</x:v>
      </x:c>
      <x:c r="P49" s="35" t="str">
        <x:v>No</x:v>
      </x:c>
      <x:c r="Q49" s="35" t="str">
        <x:v>No</x:v>
      </x:c>
      <x:c r="R49" s="35" t="str">
        <x:v>Section V-B; Limitations</x:v>
      </x:c>
      <x:c r="S49" s="35" t="str">
        <x:v>R2/R6</x:v>
      </x:c>
      <x:c r="T49" s="35" t="str">
        <x:v>Resolution package added 2026-07-18; see columns U:Z. Keep task open until the stated evidence/acceptance test is satisfied.</x:v>
      </x:c>
      <x:c r="U49" s="148" t="str">
        <x:v>Treat traffic shaping as single-host sensitivity analysis only. If retained, test bandwidth and added RTT with repeated runs; jitter, loss and stragglers are optional unless robustness is claimed.</x:v>
      </x:c>
      <x:c r="V49" s="149" t="str">
        <x:v>tc-netem on one NVLink server does not reproduce the full network stack. A bounded sensitivity claim is defensible; a real-cluster robustness claim is not.</x:v>
      </x:c>
      <x:c r="W49" s="149" t="str">
        <x:v>Rename the subsection, disclose exactly where shaping is applied, remove 'realistic multi-node', and report latency/bandwidth settings plus variance.</x:v>
      </x:c>
      <x:c r="X49" s="149" t="str">
        <x:v>We clarified that these are controlled single-host network-sensitivity experiments and no longer present them as a substitute for physical-cluster validation.</x:v>
      </x:c>
      <x:c r="Y49" s="149" t="str">
        <x:v>tc command/config, repeated timing logs and revised limitation.</x:v>
      </x:c>
      <x:c r="Z49" s="150" t="str">
        <x:v>Scope resolved; retained sensitivity values require rerun/provenance</x:v>
      </x:c>
    </x:row>
    <x:row r="50" ht="150" customHeight="1">
      <x:c r="A50" s="37" t="str">
        <x:v>E4-06</x:v>
      </x:c>
      <x:c r="B50" s="39" t="str">
        <x:v>4. Experiments &amp; Benchmarking</x:v>
      </x:c>
      <x:c r="C50" s="35" t="str">
        <x:v>P1 Major</x:v>
      </x:c>
      <x:c r="D50" s="35" t="str">
        <x:v>R6</x:v>
      </x:c>
      <x:c r="E50" s="35" t="str">
        <x:v>Timing statistics</x:v>
      </x:c>
      <x:c r="F50" s="35" t="str">
        <x:v>Repeat throughput and efficiency measurements</x:v>
      </x:c>
      <x:c r="G50" s="35" t="str">
        <x:v>Single-run wall-clock values are insufficient for systems claims.</x:v>
      </x:c>
      <x:c r="H50" s="35" t="str">
        <x:v>• Run warm-up iterations.
• Repeat each configuration at least 5–10 times.
• Report mean, standard deviation and 95% confidence intervals.</x:v>
      </x:c>
      <x:c r="I50" s="35" t="str">
        <x:v>All scaling metrics include run count, variance and confidence intervals.</x:v>
      </x:c>
      <x:c r="J50" s="35" t="str">
        <x:v>Repeated timing logs + CI table</x:v>
      </x:c>
      <x:c r="K50" s="35" t="str">
        <x:v>E4-03/E4-05</x:v>
      </x:c>
      <x:c r="L50" s="35" t="str">
        <x:v>Aditya</x:v>
      </x:c>
      <x:c r="M50" s="35" t="str">
        <x:v>Week 4–5</x:v>
      </x:c>
      <x:c r="N50" s="35" t="str">
        <x:v>Not Started</x:v>
      </x:c>
      <x:c r="O50" s="41" t="n">
        <x:v>0</x:v>
      </x:c>
      <x:c r="P50" s="35" t="str">
        <x:v>No</x:v>
      </x:c>
      <x:c r="Q50" s="35" t="str">
        <x:v>No</x:v>
      </x:c>
      <x:c r="R50" s="35" t="str">
        <x:v>Section IV-E; V-B</x:v>
      </x:c>
      <x:c r="S50" s="35" t="str">
        <x:v>R6</x:v>
      </x:c>
      <x:c r="T50" s="35" t="str">
        <x:v>Resolution package added 2026-07-18; see columns U:Z. Keep task open until the stated evidence/acceptance test is satisfied.</x:v>
      </x:c>
      <x:c r="U50" s="145" t="str">
        <x:v>Use warm-up plus at least 10 timed repetitions for headline throughput and 5-10 for secondary configurations; report mean, SD, 95% CI and tail latency where relevant.</x:v>
      </x:c>
      <x:c r="V50" s="146" t="str">
        <x:v>Single wall-clock values cannot support scaling comparisons because GPU warm-up, caching and scheduler noise are material.</x:v>
      </x:c>
      <x:c r="W50" s="146" t="str">
        <x:v>Define measurement interval, synchronization before/after timing, excluded warm-ups and hardware utilization; replace unqualified percentages with CIs.</x:v>
      </x:c>
      <x:c r="X50" s="146" t="str">
        <x:v>We repeated all systems measurements under a documented warm-up/timing protocol and now report uncertainty.</x:v>
      </x:c>
      <x:c r="Y50" s="146" t="str">
        <x:v>Raw timings and reproducible aggregation script.</x:v>
      </x:c>
      <x:c r="Z50" s="147" t="str">
        <x:v>Rerun pending</x:v>
      </x:c>
    </x:row>
    <x:row r="51" ht="150" customHeight="1">
      <x:c r="A51" s="37" t="str">
        <x:v>E4-07</x:v>
      </x:c>
      <x:c r="B51" s="39" t="str">
        <x:v>4. Experiments &amp; Benchmarking</x:v>
      </x:c>
      <x:c r="C51" s="35" t="str">
        <x:v>P1 Major</x:v>
      </x:c>
      <x:c r="D51" s="35" t="str">
        <x:v>R3</x:v>
      </x:c>
      <x:c r="E51" s="35" t="str">
        <x:v>Profiling</x:v>
      </x:c>
      <x:c r="F51" s="35" t="str">
        <x:v>Report parameters, FLOPs, peak GPU memory and inference latency</x:v>
      </x:c>
      <x:c r="G51" s="35" t="str">
        <x:v>Reviewers need a complete cost-versus-quality comparison.</x:v>
      </x:c>
      <x:c r="H51" s="35" t="str">
        <x:v>• Profile D-MSTCN and all major baselines with the same input shapes.
• Report batch and single-sample latency.
• Separate training and inference costs.</x:v>
      </x:c>
      <x:c r="I51" s="35" t="str">
        <x:v>A complete computational-profile table is included and reproducible.</x:v>
      </x:c>
      <x:c r="J51" s="35" t="str">
        <x:v>Profiling table + scripts</x:v>
      </x:c>
      <x:c r="K51" s="35" t="str">
        <x:v>T2-11; E4-01</x:v>
      </x:c>
      <x:c r="L51" s="35" t="str">
        <x:v>Aditya</x:v>
      </x:c>
      <x:c r="M51" s="35" t="str">
        <x:v>Week 4</x:v>
      </x:c>
      <x:c r="N51" s="35" t="str">
        <x:v>Not Started</x:v>
      </x:c>
      <x:c r="O51" s="41" t="n">
        <x:v>0</x:v>
      </x:c>
      <x:c r="P51" s="35" t="str">
        <x:v>No</x:v>
      </x:c>
      <x:c r="Q51" s="35" t="str">
        <x:v>No</x:v>
      </x:c>
      <x:c r="R51" s="35" t="str">
        <x:v>Complexity; Results</x:v>
      </x:c>
      <x:c r="S51" s="35" t="str">
        <x:v>R3</x:v>
      </x:c>
      <x:c r="T51" s="35" t="str">
        <x:v>Resolution package added 2026-07-18; see columns U:Z. Keep task open until the stated evidence/acceptance test is satisfied.</x:v>
      </x:c>
      <x:c r="U51" s="148" t="str">
        <x:v>Profile parameters, MACs/FLOPs, peak training/inference memory and batch-1/batch-N latency for D-MSTCN and main baselines on the same hardware/input shapes.</x:v>
      </x:c>
      <x:c r="V51" s="149" t="str">
        <x:v>Accuracy gains are not interpretable without computational cost, and the current analytical expression is incomplete.</x:v>
      </x:c>
      <x:c r="W51" s="149" t="str">
        <x:v>Add a cost-quality table, state profiler/tool versions and separate training from inference and preprocessing.</x:v>
      </x:c>
      <x:c r="X51" s="149" t="str">
        <x:v>We added a matched cost analysis so the accuracy and execution trade-offs can be evaluated directly.</x:v>
      </x:c>
      <x:c r="Y51" s="149" t="str">
        <x:v>Profiler traces and table reconciled with parameter enumeration.</x:v>
      </x:c>
      <x:c r="Z51" s="150" t="str">
        <x:v>Profiling pending</x:v>
      </x:c>
    </x:row>
    <x:row r="52" ht="150" customHeight="1">
      <x:c r="A52" s="37" t="str">
        <x:v>E4-08</x:v>
      </x:c>
      <x:c r="B52" s="39" t="str">
        <x:v>4. Experiments &amp; Benchmarking</x:v>
      </x:c>
      <x:c r="C52" s="35" t="str">
        <x:v>P1 Major</x:v>
      </x:c>
      <x:c r="D52" s="35" t="str">
        <x:v>R3</x:v>
      </x:c>
      <x:c r="E52" s="35" t="str">
        <x:v>Ablation</x:v>
      </x:c>
      <x:c r="F52" s="35" t="str">
        <x:v>Ablate alternative dilation schedules</x:v>
      </x:c>
      <x:c r="G52" s="35" t="str">
        <x:v>Fixed schedules are central to the multi-scale claim but are insufficiently tested.</x:v>
      </x:c>
      <x:c r="H52" s="35" t="str">
        <x:v>• Test at least two alternative schedules.
• Include a learned or data-adaptive schedule if feasible.
• Report accuracy, compute and receptive-field duration.</x:v>
      </x:c>
      <x:c r="I52" s="35" t="str">
        <x:v>The chosen schedules are empirically justified rather than assumed.</x:v>
      </x:c>
      <x:c r="J52" s="35" t="str">
        <x:v>Expanded ablation table</x:v>
      </x:c>
      <x:c r="K52" s="35" t="str">
        <x:v>T2-02; T2-08</x:v>
      </x:c>
      <x:c r="L52" s="35" t="str">
        <x:v>Aditya</x:v>
      </x:c>
      <x:c r="M52" s="35" t="str">
        <x:v>Week 4</x:v>
      </x:c>
      <x:c r="N52" s="35" t="str">
        <x:v>Not Started</x:v>
      </x:c>
      <x:c r="O52" s="41" t="n">
        <x:v>0</x:v>
      </x:c>
      <x:c r="P52" s="35" t="str">
        <x:v>No</x:v>
      </x:c>
      <x:c r="Q52" s="35" t="str">
        <x:v>No</x:v>
      </x:c>
      <x:c r="R52" s="35" t="str">
        <x:v>Section VI</x:v>
      </x:c>
      <x:c r="S52" s="35" t="str">
        <x:v>R3</x:v>
      </x:c>
      <x:c r="T52" s="35" t="str">
        <x:v>Resolution package added 2026-07-18; see columns U:Z. Keep task open until the stated evidence/acceptance test is satisfied.</x:v>
      </x:c>
      <x:c r="U52" s="145" t="str">
        <x:v>Compare the submitted schedules with at least two defensible alternatives and one data-adaptive option if feasible; report realized temporal span, not EEG labels.</x:v>
      </x:c>
      <x:c r="V52" s="146" t="str">
        <x:v>Fixed schedules are central to the architecture yet currently appear hand-selected without comparative evidence.</x:v>
      </x:c>
      <x:c r="W52" s="146" t="str">
        <x:v>Use equal training budgets and report F1, parameters and latency; if adaptive discovery is not feasible, state it as future work rather than imply optimality.</x:v>
      </x:c>
      <x:c r="X52" s="146" t="str">
        <x:v>We added schedule ablations and removed language suggesting that the fixed values are universally or neuroscientifically optimal.</x:v>
      </x:c>
      <x:c r="Y52" s="146" t="str">
        <x:v>EX-05 configs and paired results.</x:v>
      </x:c>
      <x:c r="Z52" s="147" t="str">
        <x:v>Ablation rerun pending</x:v>
      </x:c>
    </x:row>
    <x:row r="53" ht="150" customHeight="1">
      <x:c r="A53" s="37" t="str">
        <x:v>E4-09</x:v>
      </x:c>
      <x:c r="B53" s="39" t="str">
        <x:v>4. Experiments &amp; Benchmarking</x:v>
      </x:c>
      <x:c r="C53" s="35" t="str">
        <x:v>P1 Major</x:v>
      </x:c>
      <x:c r="D53" s="35" t="str">
        <x:v>R3</x:v>
      </x:c>
      <x:c r="E53" s="35" t="str">
        <x:v>Ablation</x:v>
      </x:c>
      <x:c r="F53" s="35" t="str">
        <x:v>Ablate number of branches and kernel sizes</x:v>
      </x:c>
      <x:c r="G53" s="35" t="str">
        <x:v>The contribution of three branches and K=3 should be demonstrated.</x:v>
      </x:c>
      <x:c r="H53" s="35" t="str">
        <x:v>• Evaluate 1-, 2-, 3- and 4-branch variants where practical.
• Compare K=3 and K=5.
• Report parameter-matched variants when possible.</x:v>
      </x:c>
      <x:c r="I53" s="35" t="str">
        <x:v>Architecture choices are supported by controlled ablations.</x:v>
      </x:c>
      <x:c r="J53" s="35" t="str">
        <x:v>Expanded ablation table</x:v>
      </x:c>
      <x:c r="K53" s="35" t="str">
        <x:v>E4-08</x:v>
      </x:c>
      <x:c r="L53" s="35" t="str">
        <x:v>Aditya</x:v>
      </x:c>
      <x:c r="M53" s="35" t="str">
        <x:v>Week 4</x:v>
      </x:c>
      <x:c r="N53" s="35" t="str">
        <x:v>Not Started</x:v>
      </x:c>
      <x:c r="O53" s="41" t="n">
        <x:v>0</x:v>
      </x:c>
      <x:c r="P53" s="35" t="str">
        <x:v>No</x:v>
      </x:c>
      <x:c r="Q53" s="35" t="str">
        <x:v>No</x:v>
      </x:c>
      <x:c r="R53" s="35" t="str">
        <x:v>Section VI</x:v>
      </x:c>
      <x:c r="S53" s="35" t="str">
        <x:v>R3</x:v>
      </x:c>
      <x:c r="T53" s="35" t="str">
        <x:v>Resolution package added 2026-07-18; see columns U:Z. Keep task open until the stated evidence/acceptance test is satisfied.</x:v>
      </x:c>
      <x:c r="U53" s="148" t="str">
        <x:v>Ablate 1/2/3 branches and K=3/5 with parameter-matched controls where feasible; do not infer branch necessity solely from leave-one-out variants.</x:v>
      </x:c>
      <x:c r="V53" s="149" t="str">
        <x:v>The submitted ablation shows components matter in one configuration but not that three branches or K=3 is the best design.</x:v>
      </x:c>
      <x:c r="W53" s="149" t="str">
        <x:v>Add a compact architecture ablation reporting F1, parameter count, receptive field and latency.</x:v>
      </x:c>
      <x:c r="X53" s="149" t="str">
        <x:v>We evaluated branch count and kernel size under matched budgets and narrowed the architectural claim to the observed trade-off.</x:v>
      </x:c>
      <x:c r="Y53" s="149" t="str">
        <x:v>EX-06 results and configs.</x:v>
      </x:c>
      <x:c r="Z53" s="150" t="str">
        <x:v>Ablation rerun pending</x:v>
      </x:c>
    </x:row>
    <x:row r="54" ht="150" customHeight="1">
      <x:c r="A54" s="37" t="str">
        <x:v>E4-10</x:v>
      </x:c>
      <x:c r="B54" s="39" t="str">
        <x:v>4. Experiments &amp; Benchmarking</x:v>
      </x:c>
      <x:c r="C54" s="35" t="str">
        <x:v>P1 Major</x:v>
      </x:c>
      <x:c r="D54" s="35" t="str">
        <x:v>R3</x:v>
      </x:c>
      <x:c r="E54" s="35" t="str">
        <x:v>Fusion ablation</x:v>
      </x:c>
      <x:c r="F54" s="35" t="str">
        <x:v>Compare CSAG with alternative fusion mechanisms</x:v>
      </x:c>
      <x:c r="G54" s="35" t="str">
        <x:v>Fixed averaging alone is not a broad comparison of attention-based fusion choices.</x:v>
      </x:c>
      <x:c r="H54" s="35" t="str">
        <x:v>• Compare concatenation+MLP, scalar gating and one alternative attention mechanism.
• Match parameter counts where feasible.
• Analyze stability and interpretability.</x:v>
      </x:c>
      <x:c r="I54" s="35" t="str">
        <x:v>CSAG's benefit is established against credible alternatives.</x:v>
      </x:c>
      <x:c r="J54" s="35" t="str">
        <x:v>Fusion comparison table</x:v>
      </x:c>
      <x:c r="K54" s="35" t="str">
        <x:v>E4-01</x:v>
      </x:c>
      <x:c r="L54" s="35" t="str">
        <x:v>Aditya</x:v>
      </x:c>
      <x:c r="M54" s="35" t="str">
        <x:v>Week 4</x:v>
      </x:c>
      <x:c r="N54" s="35" t="str">
        <x:v>Not Started</x:v>
      </x:c>
      <x:c r="O54" s="41" t="n">
        <x:v>0</x:v>
      </x:c>
      <x:c r="P54" s="35" t="str">
        <x:v>No</x:v>
      </x:c>
      <x:c r="Q54" s="35" t="str">
        <x:v>No</x:v>
      </x:c>
      <x:c r="R54" s="35" t="str">
        <x:v>Section VI</x:v>
      </x:c>
      <x:c r="S54" s="35" t="str">
        <x:v>R3</x:v>
      </x:c>
      <x:c r="T54" s="35" t="str">
        <x:v>Resolution package added 2026-07-18; see columns U:Z. Keep task open until the stated evidence/acceptance test is satisfied.</x:v>
      </x:c>
      <x:c r="U54" s="145" t="str">
        <x:v>Compare CSAG against fixed average, scalar gate, concatenation+MLP and one credible attention fusion under matched parameter/training budgets.</x:v>
      </x:c>
      <x:c r="V54" s="146" t="str">
        <x:v>Beating only fixed averaging does not isolate whether scale attention is beneficial versus generic learnable fusion.</x:v>
      </x:c>
      <x:c r="W54" s="146" t="str">
        <x:v>Report accuracy, variance, parameter count and stability; qualify attention visualization regardless of outcome.</x:v>
      </x:c>
      <x:c r="X54" s="146" t="str">
        <x:v>We expanded the fusion ablation beyond fixed averaging and now position CSAG according to the matched comparison.</x:v>
      </x:c>
      <x:c r="Y54" s="146" t="str">
        <x:v>EX-07 run table and model definitions.</x:v>
      </x:c>
      <x:c r="Z54" s="147" t="str">
        <x:v>Ablation rerun pending</x:v>
      </x:c>
    </x:row>
    <x:row r="55" ht="150" customHeight="1">
      <x:c r="A55" s="37" t="str">
        <x:v>E4-11</x:v>
      </x:c>
      <x:c r="B55" s="39" t="str">
        <x:v>4. Experiments &amp; Benchmarking</x:v>
      </x:c>
      <x:c r="C55" s="35" t="str">
        <x:v>P1 Major</x:v>
      </x:c>
      <x:c r="D55" s="35" t="str">
        <x:v>R3</x:v>
      </x:c>
      <x:c r="E55" s="35" t="str">
        <x:v>Personalization</x:v>
      </x:c>
      <x:c r="F55" s="35" t="str">
        <x:v>Compare FiLM with lightweight personalization alternatives</x:v>
      </x:c>
      <x:c r="G55" s="35" t="str">
        <x:v>The choice of FiLM needs an accuracy, parameter and adaptation-cost justification.</x:v>
      </x:c>
      <x:c r="H55" s="35" t="str">
        <x:v>• Add a plain adapter baseline.
• Add LoRA where architecturally meaningful.
• Add a simple fine-tuning or meta-learning baseline if resources permit.</x:v>
      </x:c>
      <x:c r="I55" s="35" t="str">
        <x:v>FiLM is justified by a measured tradeoff, not convenience alone.</x:v>
      </x:c>
      <x:c r="J55" s="35" t="str">
        <x:v>Personalization comparison table</x:v>
      </x:c>
      <x:c r="K55" s="35" t="str">
        <x:v>V3-03; E4-01</x:v>
      </x:c>
      <x:c r="L55" s="35" t="str">
        <x:v>Aditya</x:v>
      </x:c>
      <x:c r="M55" s="35" t="str">
        <x:v>Week 4–5</x:v>
      </x:c>
      <x:c r="N55" s="35" t="str">
        <x:v>Not Started</x:v>
      </x:c>
      <x:c r="O55" s="41" t="n">
        <x:v>0</x:v>
      </x:c>
      <x:c r="P55" s="35" t="str">
        <x:v>No</x:v>
      </x:c>
      <x:c r="Q55" s="35" t="str">
        <x:v>No</x:v>
      </x:c>
      <x:c r="R55" s="35" t="str">
        <x:v>Section VI; Discussion</x:v>
      </x:c>
      <x:c r="S55" s="35" t="str">
        <x:v>R3</x:v>
      </x:c>
      <x:c r="T55" s="35" t="str">
        <x:v>Resolution package added 2026-07-18; see columns U:Z. Keep task open until the stated evidence/acceptance test is satisfied.</x:v>
      </x:c>
      <x:c r="U55" s="148" t="str">
        <x:v>Compare FiLM with a no-personalization global model, a small residual adapter and limited fine-tuning; include LoRA only if its insertion points are technically meaningful.</x:v>
      </x:c>
      <x:c r="V55" s="149" t="str">
        <x:v>The current comparison establishes some benefit from FiLM but not that it is the best lightweight personalization method.</x:v>
      </x:c>
      <x:c r="W55" s="149" t="str">
        <x:v>Use identical support/query data and report accuracy, per-subject storage and adaptation time; do not add fashionable baselines without a fair implementation.</x:v>
      </x:c>
      <x:c r="X55" s="149" t="str">
        <x:v>We added lightweight personalization baselines and now justify FiLM using both quality and adaptation cost.</x:v>
      </x:c>
      <x:c r="Y55" s="149" t="str">
        <x:v>EX-08 configs and support-set manifest.</x:v>
      </x:c>
      <x:c r="Z55" s="150" t="str">
        <x:v>Experiment pending</x:v>
      </x:c>
    </x:row>
    <x:row r="56" ht="150" customHeight="1">
      <x:c r="A56" s="37" t="str">
        <x:v>E4-12</x:v>
      </x:c>
      <x:c r="B56" s="39" t="str">
        <x:v>4. Experiments &amp; Benchmarking</x:v>
      </x:c>
      <x:c r="C56" s="35" t="str">
        <x:v>P0 Critical</x:v>
      </x:c>
      <x:c r="D56" s="35" t="str">
        <x:v>R3; R4</x:v>
      </x:c>
      <x:c r="E56" s="35" t="str">
        <x:v>Cold start</x:v>
      </x:c>
      <x:c r="F56" s="35" t="str">
        <x:v>Evaluate personalization for unseen subjects</x:v>
      </x:c>
      <x:c r="G56" s="35" t="str">
        <x:v>The main deployment target includes new subjects who have no learned embedding.</x:v>
      </x:c>
      <x:c r="H56" s="35" t="str">
        <x:v>• Evaluate a global/unknown embedding.
• Evaluate few-shot adaptation with a clearly separated support set.
• Report seen-subject and unseen-subject results separately.</x:v>
      </x:c>
      <x:c r="I56" s="35" t="str">
        <x:v>Cold-start behavior is quantified and no hidden test-subject training occurs.</x:v>
      </x:c>
      <x:c r="J56" s="35" t="str">
        <x:v>Cold-start result table</x:v>
      </x:c>
      <x:c r="K56" s="35" t="str">
        <x:v>V3-03; E4-11</x:v>
      </x:c>
      <x:c r="L56" s="35" t="str">
        <x:v>Aditya</x:v>
      </x:c>
      <x:c r="M56" s="35" t="str">
        <x:v>Week 4–5</x:v>
      </x:c>
      <x:c r="N56" s="35" t="str">
        <x:v>Not Started</x:v>
      </x:c>
      <x:c r="O56" s="41" t="n">
        <x:v>0</x:v>
      </x:c>
      <x:c r="P56" s="35" t="str">
        <x:v>Yes</x:v>
      </x:c>
      <x:c r="Q56" s="35" t="str">
        <x:v>No</x:v>
      </x:c>
      <x:c r="R56" s="35" t="str">
        <x:v>Section IV/VI/VIII</x:v>
      </x:c>
      <x:c r="S56" s="35" t="str">
        <x:v>R3/R4</x:v>
      </x:c>
      <x:c r="T56" s="35" t="str">
        <x:v>Resolution package added 2026-07-18; see columns U:Z. Keep task open until the stated evidence/acceptance test is satisfied.</x:v>
      </x:c>
      <x:c r="U56" s="145" t="str">
        <x:v>Evaluate unseen subjects with a global/UNK embedding and leakage-free k-shot adaptation; report seen-subject results separately.</x:v>
      </x:c>
      <x:c r="V56" s="146" t="str">
        <x:v>Cold start is the practical deployment case and cannot be inferred from embeddings learned for known identities.</x:v>
      </x:c>
      <x:c r="W56" s="146" t="str">
        <x:v>Plot F1 versus support size, include zero-shot, and exclude all query examples from adaptation.</x:v>
      </x:c>
      <x:c r="X56" s="146" t="str">
        <x:v>We added explicit zero-shot and few-shot unseen-subject evaluation and removed deployment claims based only on known subjects.</x:v>
      </x:c>
      <x:c r="Y56" s="146" t="str">
        <x:v>EX-09 results; support/query leakage test.</x:v>
      </x:c>
      <x:c r="Z56" s="147" t="str">
        <x:v>Critical personalization experiment pending</x:v>
      </x:c>
    </x:row>
    <x:row r="57" ht="150" customHeight="1">
      <x:c r="A57" s="37" t="str">
        <x:v>E4-13</x:v>
      </x:c>
      <x:c r="B57" s="39" t="str">
        <x:v>4. Experiments &amp; Benchmarking</x:v>
      </x:c>
      <x:c r="C57" s="35" t="str">
        <x:v>P0 Critical</x:v>
      </x:c>
      <x:c r="D57" s="35" t="str">
        <x:v>R2; R3</x:v>
      </x:c>
      <x:c r="E57" s="35" t="str">
        <x:v>Statistics</x:v>
      </x:c>
      <x:c r="F57" s="35" t="str">
        <x:v>Redesign the significance-testing plan</x:v>
      </x:c>
      <x:c r="G57" s="35" t="str">
        <x:v>With only five paired observations, an exact two-sided Wilcoxon test cannot produce p &lt; 0.05 even when all differences have the same sign.</x:v>
      </x:c>
      <x:c r="H57" s="35" t="str">
        <x:v>• Increase independent runs for headline comparisons, preferably to at least 10.
• Report exact test type, alternative hypothesis, statistic and p-value.
• Use confidence intervals and effect sizes; correct for multiple comparisons where applicable.</x:v>
      </x:c>
      <x:c r="I57" s="35" t="str">
        <x:v>Every significance symbol can be independently reproduced and is statistically valid.</x:v>
      </x:c>
      <x:c r="J57" s="35" t="str">
        <x:v>Statistical analysis plan + scripts</x:v>
      </x:c>
      <x:c r="K57" s="35" t="str">
        <x:v>V3-08</x:v>
      </x:c>
      <x:c r="L57" s="35" t="str">
        <x:v>Aditya + Statistician/Guide</x:v>
      </x:c>
      <x:c r="M57" s="35" t="str">
        <x:v>Week 3</x:v>
      </x:c>
      <x:c r="N57" s="35" t="str">
        <x:v>Not Started</x:v>
      </x:c>
      <x:c r="O57" s="41" t="n">
        <x:v>0</x:v>
      </x:c>
      <x:c r="P57" s="35" t="str">
        <x:v>Yes</x:v>
      </x:c>
      <x:c r="Q57" s="35" t="str">
        <x:v>No</x:v>
      </x:c>
      <x:c r="R57" s="35" t="str">
        <x:v>Section IV-C/D; Tables 2–5</x:v>
      </x:c>
      <x:c r="S57" s="35" t="str">
        <x:v>R2/R3</x:v>
      </x:c>
      <x:c r="T57" s="35" t="str">
        <x:v>Resolution package added 2026-07-18; see columns U:Z. Keep task open until the stated evidence/acceptance test is satisfied.</x:v>
      </x:c>
      <x:c r="U57" s="148" t="str">
        <x:v>Withdraw every current p&lt;0.05 marker based on five paired seeds. Use at least 10 paired independent runs for headline tests, exact two-sided Wilcoxon, paired effect sizes/CIs and Holm correction across multiple headline comparisons.</x:v>
      </x:c>
      <x:c r="V57" s="149" t="str">
        <x:v>With n=5 nonzero pairs, the minimum exact two-sided Wilcoxon p-value is 0.0625, so the submitted † p&lt;0.05 claim is mathematically impossible under the stated test.</x:v>
      </x:c>
      <x:c r="W57" s="149" t="str">
        <x:v>Remove daggers until rerun; report n, statistic, exact p, adjusted p, paired median/mean difference, 95% CI and effect size. Predefine which comparisons are confirmatory.</x:v>
      </x:c>
      <x:c r="X57" s="149" t="str">
        <x:v>We agree and removed the unsupported significance symbols. We increased the paired-run count and now report exact tests, multiplicity correction, uncertainty and effect sizes.</x:v>
      </x:c>
      <x:c r="Y57" s="149" t="str">
        <x:v>Statistics script with raw paired scores and reproducible output.</x:v>
      </x:c>
      <x:c r="Z57" s="150" t="str">
        <x:v>Critical correction; significance claims invalid until rerun</x:v>
      </x:c>
    </x:row>
    <x:row r="58" ht="150" customHeight="1">
      <x:c r="A58" s="37" t="str">
        <x:v>E4-14</x:v>
      </x:c>
      <x:c r="B58" s="39" t="str">
        <x:v>4. Experiments &amp; Benchmarking</x:v>
      </x:c>
      <x:c r="C58" s="35" t="str">
        <x:v>P1 Major</x:v>
      </x:c>
      <x:c r="D58" s="35" t="str">
        <x:v>R2; R3</x:v>
      </x:c>
      <x:c r="E58" s="35" t="str">
        <x:v>Statistics</x:v>
      </x:c>
      <x:c r="F58" s="35" t="str">
        <x:v>Re-run headline comparisons with sufficient seeds</x:v>
      </x:c>
      <x:c r="G58" s="35" t="str">
        <x:v>The current five-seed design has low power and cannot support some stated significance claims.</x:v>
      </x:c>
      <x:c r="H58" s="35" t="str">
        <x:v>• Use the same seed list for D-MSTCN and key baselines.
• Prioritize D-MSTCN N=1, D-MSTCN scaled, iTransformer, Temporal-CNN and DDP-LSTM.
• Report all runs, including failures.</x:v>
      </x:c>
      <x:c r="I58" s="35" t="str">
        <x:v>Headline results have adequate repeated runs and transparent exclusions.</x:v>
      </x:c>
      <x:c r="J58" s="35" t="str">
        <x:v>Run logs + revised Table 2</x:v>
      </x:c>
      <x:c r="K58" s="35" t="str">
        <x:v>E4-13; E4-01</x:v>
      </x:c>
      <x:c r="L58" s="35" t="str">
        <x:v>Aditya</x:v>
      </x:c>
      <x:c r="M58" s="35" t="str">
        <x:v>Week 4–5</x:v>
      </x:c>
      <x:c r="N58" s="35" t="str">
        <x:v>Not Started</x:v>
      </x:c>
      <x:c r="O58" s="41" t="n">
        <x:v>0</x:v>
      </x:c>
      <x:c r="P58" s="35" t="str">
        <x:v>No</x:v>
      </x:c>
      <x:c r="Q58" s="35" t="str">
        <x:v>No</x:v>
      </x:c>
      <x:c r="R58" s="35" t="str">
        <x:v>Table 2</x:v>
      </x:c>
      <x:c r="S58" s="35" t="str">
        <x:v>R2/R3</x:v>
      </x:c>
      <x:c r="T58" s="35" t="str">
        <x:v>Resolution package added 2026-07-18; see columns U:Z. Keep task open until the stated evidence/acceptance test is satisfied.</x:v>
      </x:c>
      <x:c r="U58" s="145" t="str">
        <x:v>Rerun D-MSTCN and the strongest baselines on the corrected splits using a common 10+ seed list; report all runs and failures.</x:v>
      </x:c>
      <x:c r="V58" s="146" t="str">
        <x:v>More seeds alone are insufficient if the split/leakage/baseline issues remain, so reruns must follow V3 and E4-01 corrections.</x:v>
      </x:c>
      <x:c r="W58" s="146" t="str">
        <x:v>Prioritize D-MSTCN, iTransformer, TimesNet/Temporal-CNN and DDP-LSTM under matched protocols; recompute all headline tables.</x:v>
      </x:c>
      <x:c r="X58" s="146" t="str">
        <x:v>We regenerated the main comparison after correcting the evaluation protocol and increased paired runs to support the revised statistical analysis.</x:v>
      </x:c>
      <x:c r="Y58" s="146" t="str">
        <x:v>Run manifest, raw scores and regenerated Table 2.</x:v>
      </x:c>
      <x:c r="Z58" s="147" t="str">
        <x:v>Blocked on split/preprocessing corrections</x:v>
      </x:c>
    </x:row>
    <x:row r="59" ht="150" customHeight="1">
      <x:c r="A59" s="37" t="str">
        <x:v>E4-15</x:v>
      </x:c>
      <x:c r="B59" s="39" t="str">
        <x:v>4. Experiments &amp; Benchmarking</x:v>
      </x:c>
      <x:c r="C59" s="35" t="str">
        <x:v>P1 Major</x:v>
      </x:c>
      <x:c r="D59" s="35" t="str">
        <x:v>R3; R6</x:v>
      </x:c>
      <x:c r="E59" s="35" t="str">
        <x:v>Statistics</x:v>
      </x:c>
      <x:c r="F59" s="35" t="str">
        <x:v>Add 95% confidence intervals and effect sizes</x:v>
      </x:c>
      <x:c r="G59" s="35" t="str">
        <x:v>Mean ± standard deviation does not directly communicate uncertainty or practical magnitude.</x:v>
      </x:c>
      <x:c r="H59" s="35" t="str">
        <x:v>• Compute bootstrap or appropriate parametric confidence intervals.
• Report effect size for key pairwise comparisons.
• Avoid over-interpreting small F1 differences.</x:v>
      </x:c>
      <x:c r="I59" s="35" t="str">
        <x:v>Main quality and systems results include uncertainty and practical effect magnitude.</x:v>
      </x:c>
      <x:c r="J59" s="35" t="str">
        <x:v>Updated tables and statistical appendix</x:v>
      </x:c>
      <x:c r="K59" s="35" t="str">
        <x:v>E4-13; E4-14</x:v>
      </x:c>
      <x:c r="L59" s="35" t="str">
        <x:v>Aditya</x:v>
      </x:c>
      <x:c r="M59" s="35" t="str">
        <x:v>Week 5</x:v>
      </x:c>
      <x:c r="N59" s="35" t="str">
        <x:v>Not Started</x:v>
      </x:c>
      <x:c r="O59" s="41" t="n">
        <x:v>0</x:v>
      </x:c>
      <x:c r="P59" s="35" t="str">
        <x:v>No</x:v>
      </x:c>
      <x:c r="Q59" s="35" t="str">
        <x:v>No</x:v>
      </x:c>
      <x:c r="R59" s="35" t="str">
        <x:v>Results; Supplement</x:v>
      </x:c>
      <x:c r="S59" s="35" t="str">
        <x:v>R3/R6</x:v>
      </x:c>
      <x:c r="T59" s="35" t="str">
        <x:v>Resolution package added 2026-07-18; see columns U:Z. Keep task open until the stated evidence/acceptance test is satisfied.</x:v>
      </x:c>
      <x:c r="U59" s="148" t="str">
        <x:v>Report 95% CIs for metrics and paired differences plus a paired effect size; emphasize practical magnitude, not p-values alone.</x:v>
      </x:c>
      <x:c r="V59" s="149" t="str">
        <x:v>Mean ± SD describes run dispersion but not uncertainty in the estimated difference, and small F1 changes may be practically negligible.</x:v>
      </x:c>
      <x:c r="W59" s="149" t="str">
        <x:v>Use a transparent paired bootstrap or justified parametric CI, state resampling unit, and include Cliff's delta/rank-biserial or paired standardized effect as appropriate.</x:v>
      </x:c>
      <x:c r="X59" s="149" t="str">
        <x:v>We added uncertainty and effect-size reporting and tempered conclusions where intervals include small or negligible effects.</x:v>
      </x:c>
      <x:c r="Y59" s="149" t="str">
        <x:v>Auditable statistical notebook/script.</x:v>
      </x:c>
      <x:c r="Z59" s="150" t="str">
        <x:v>Pending corrected reruns</x:v>
      </x:c>
    </x:row>
    <x:row r="60" ht="150" customHeight="1">
      <x:c r="A60" s="37" t="str">
        <x:v>E4-16</x:v>
      </x:c>
      <x:c r="B60" s="39" t="str">
        <x:v>4. Experiments &amp; Benchmarking</x:v>
      </x:c>
      <x:c r="C60" s="35" t="str">
        <x:v>P1 Major</x:v>
      </x:c>
      <x:c r="D60" s="35" t="str">
        <x:v>R1; R2</x:v>
      </x:c>
      <x:c r="E60" s="35" t="str">
        <x:v>Sensitivity</x:v>
      </x:c>
      <x:c r="F60" s="35" t="str">
        <x:v>Expand δ_max and T_sync sensitivity analysis</x:v>
      </x:c>
      <x:c r="G60" s="35" t="str">
        <x:v>The protocol's behavior depends on two interacting synchronization controls.</x:v>
      </x:c>
      <x:c r="H60" s="35" t="str">
        <x:v>• Run a grid over δ_max and T_sync.
• Report F1, throughput, communication and synchronization frequency.
• Relate the empirical tradeoff to any retained theory.</x:v>
      </x:c>
      <x:c r="I60" s="35" t="str">
        <x:v>Default settings are justified and interaction effects are visible.</x:v>
      </x:c>
      <x:c r="J60" s="35" t="str">
        <x:v>Sensitivity heatmap/table</x:v>
      </x:c>
      <x:c r="K60" s="35" t="str">
        <x:v>T2-04; T2-05</x:v>
      </x:c>
      <x:c r="L60" s="35" t="str">
        <x:v>Aditya</x:v>
      </x:c>
      <x:c r="M60" s="35" t="str">
        <x:v>Week 4</x:v>
      </x:c>
      <x:c r="N60" s="35" t="str">
        <x:v>Not Started</x:v>
      </x:c>
      <x:c r="O60" s="41" t="n">
        <x:v>0</x:v>
      </x:c>
      <x:c r="P60" s="35" t="str">
        <x:v>No</x:v>
      </x:c>
      <x:c r="Q60" s="35" t="str">
        <x:v>No</x:v>
      </x:c>
      <x:c r="R60" s="35" t="str">
        <x:v>Section VI-B</x:v>
      </x:c>
      <x:c r="S60" s="35" t="str">
        <x:v>R1/R2</x:v>
      </x:c>
      <x:c r="T60" s="35" t="str">
        <x:v>Resolution package added 2026-07-18; see columns U:Z. Keep task open until the stated evidence/acceptance test is satisfied.</x:v>
      </x:c>
      <x:c r="U60" s="145" t="str">
        <x:v>Run a two-dimensional δ_max × T_sync grid and report F1, throughput, measured bytes and synchronization frequency; interpret it operationally, not as validation of a removed theorem.</x:v>
      </x:c>
      <x:c r="V60" s="146" t="str">
        <x:v>The controls interact, while the submitted analysis varies only δ_max and attributes the curve to Theorem 1.</x:v>
      </x:c>
      <x:c r="W60" s="146" t="str">
        <x:v>Add a heatmap/Pareto table and remove 'predicted by Theorem 1'; select defaults using a declared trade-off rule.</x:v>
      </x:c>
      <x:c r="X60" s="146" t="str">
        <x:v>We expanded sensitivity analysis to both synchronization controls and interpret the results empirically after withdrawing the convergence theorem.</x:v>
      </x:c>
      <x:c r="Y60" s="146" t="str">
        <x:v>Grid configs, raw metrics and revised figure.</x:v>
      </x:c>
      <x:c r="Z60" s="147" t="str">
        <x:v>Experiment pending if TCP retained</x:v>
      </x:c>
    </x:row>
    <x:row r="61" ht="150" customHeight="1">
      <x:c r="A61" s="37" t="str">
        <x:v>E4-17</x:v>
      </x:c>
      <x:c r="B61" s="39" t="str">
        <x:v>4. Experiments &amp; Benchmarking</x:v>
      </x:c>
      <x:c r="C61" s="35" t="str">
        <x:v>P1 Major</x:v>
      </x:c>
      <x:c r="D61" s="35" t="str">
        <x:v>R2; R6</x:v>
      </x:c>
      <x:c r="E61" s="35" t="str">
        <x:v>Communication measurement</x:v>
      </x:c>
      <x:c r="F61" s="35" t="str">
        <x:v>Validate communication-volume calculations with instrumentation</x:v>
      </x:c>
      <x:c r="G61" s="35" t="str">
        <x:v>Analytical byte counts can miss protocol overhead and repeated synchronization.</x:v>
      </x:c>
      <x:c r="H61" s="35" t="str">
        <x:v>• Instrument NCCL/process communication.
• Compare measured and analytical bytes.
• Report per-step and per-epoch totals.</x:v>
      </x:c>
      <x:c r="I61" s="35" t="str">
        <x:v>Communication claims are backed by measured values and an explained calculation.</x:v>
      </x:c>
      <x:c r="J61" s="35" t="str">
        <x:v>Instrumentation logs + revised Figure 5</x:v>
      </x:c>
      <x:c r="K61" s="35" t="str">
        <x:v>T2-05; E4-03</x:v>
      </x:c>
      <x:c r="L61" s="35" t="str">
        <x:v>Aditya</x:v>
      </x:c>
      <x:c r="M61" s="35" t="str">
        <x:v>Week 4–5</x:v>
      </x:c>
      <x:c r="N61" s="35" t="str">
        <x:v>Not Started</x:v>
      </x:c>
      <x:c r="O61" s="41" t="n">
        <x:v>0</x:v>
      </x:c>
      <x:c r="P61" s="35" t="str">
        <x:v>No</x:v>
      </x:c>
      <x:c r="Q61" s="35" t="str">
        <x:v>No</x:v>
      </x:c>
      <x:c r="R61" s="35" t="str">
        <x:v>Section III-F; Figure 5</x:v>
      </x:c>
      <x:c r="S61" s="35" t="str">
        <x:v>R2/R6</x:v>
      </x:c>
      <x:c r="T61" s="35" t="str">
        <x:v>Resolution package added 2026-07-18; see columns U:Z. Keep task open until the stated evidence/acceptance test is satisfied.</x:v>
      </x:c>
      <x:c r="U61" s="148" t="str">
        <x:v>Instrument actual communication and reconcile it with the corrected analytical formula per step and epoch.</x:v>
      </x:c>
      <x:c r="V61" s="149" t="str">
        <x:v>The submitted 187 MB/epoch breakdown may omit protocol overhead, replica reductions or duplicate triggers and therefore cannot support a 2.66× claim without measurement.</x:v>
      </x:c>
      <x:c r="W61" s="149" t="str">
        <x:v>Record activation/gradient transfer, branch/replica reduction and full synchronization separately; state decimal MB versus MiB.</x:v>
      </x:c>
      <x:c r="X61" s="149" t="str">
        <x:v>We replaced estimated-only communication claims with instrumented measurements and explained any difference from the analytical model.</x:v>
      </x:c>
      <x:c r="Y61" s="149" t="str">
        <x:v>NCCL/profiler traces and aggregation script.</x:v>
      </x:c>
      <x:c r="Z61" s="150" t="str">
        <x:v>Instrumentation pending</x:v>
      </x:c>
    </x:row>
    <x:row r="62" ht="150" customHeight="1">
      <x:c r="A62" s="37" t="str">
        <x:v>E4-18</x:v>
      </x:c>
      <x:c r="B62" s="39" t="str">
        <x:v>4. Experiments &amp; Benchmarking</x:v>
      </x:c>
      <x:c r="C62" s="35" t="str">
        <x:v>P1 Major</x:v>
      </x:c>
      <x:c r="D62" s="35" t="str">
        <x:v>R3</x:v>
      </x:c>
      <x:c r="E62" s="35" t="str">
        <x:v>Open science</x:v>
      </x:c>
      <x:c r="F62" s="35" t="str">
        <x:v>Prepare an anonymized code and reproducibility package before resubmission</x:v>
      </x:c>
      <x:c r="G62" s="35" t="str">
        <x:v>A concrete artifact strengthens the response to reproducibility concerns.</x:v>
      </x:c>
      <x:c r="H62" s="35" t="str">
        <x:v>• Include configs, environment, preprocessing and plotting scripts.
• Provide a minimal reproduction command.
• Respect dataset redistribution restrictions.</x:v>
      </x:c>
      <x:c r="I62" s="35" t="str">
        <x:v>A reviewer-accessible repository or archive reproduces at least the main results.</x:v>
      </x:c>
      <x:c r="J62" s="35" t="str">
        <x:v>Repository/archive link</x:v>
      </x:c>
      <x:c r="K62" s="35" t="str">
        <x:v>G0-09; E4-01:E4-17</x:v>
      </x:c>
      <x:c r="L62" s="35" t="str">
        <x:v>Aditya</x:v>
      </x:c>
      <x:c r="M62" s="35" t="str">
        <x:v>Week 5</x:v>
      </x:c>
      <x:c r="N62" s="35" t="str">
        <x:v>Not Started</x:v>
      </x:c>
      <x:c r="O62" s="41" t="n">
        <x:v>0</x:v>
      </x:c>
      <x:c r="P62" s="35" t="str">
        <x:v>No</x:v>
      </x:c>
      <x:c r="Q62" s="35" t="str">
        <x:v>No</x:v>
      </x:c>
      <x:c r="R62" s="35" t="str">
        <x:v>Data/code availability</x:v>
      </x:c>
      <x:c r="S62" s="35" t="str">
        <x:v>R3</x:v>
      </x:c>
      <x:c r="T62" s="35" t="str">
        <x:v>Resolution package added 2026-07-18; see columns U:Z. Keep task open until the stated evidence/acceptance test is satisfied.</x:v>
      </x:c>
      <x:c r="U62" s="145" t="str">
        <x:v>Release an anonymized reproducibility package before resubmission or provide a stable review artifact; exclude restricted raw datasets and include acquisition instructions/checksums.</x:v>
      </x:c>
      <x:c r="V62" s="146" t="str">
        <x:v>Reviewers cannot audit complex split, synchronization and statistics changes from prose alone.</x:v>
      </x:c>
      <x:c r="W62" s="146" t="str">
        <x:v>Package environment, configs, preprocessing, tests, run manifests, plotting/statistics scripts and minimal reproduction commands.</x:v>
      </x:c>
      <x:c r="X62" s="146" t="str">
        <x:v>We prepared an anonymized artifact that reproduces the corrected pipeline and retained results without redistributing restricted data.</x:v>
      </x:c>
      <x:c r="Y62" s="146" t="str">
        <x:v>Archive URL/DOI or private reviewer link and checksum manifest.</x:v>
      </x:c>
      <x:c r="Z62" s="147" t="str">
        <x:v>Repository work pending</x:v>
      </x:c>
    </x:row>
    <x:row r="63" ht="150" customHeight="1">
      <x:c r="A63" s="37" t="str">
        <x:v>W5-01</x:v>
      </x:c>
      <x:c r="B63" s="39" t="str">
        <x:v>5. Writing &amp; Positioning</x:v>
      </x:c>
      <x:c r="C63" s="35" t="str">
        <x:v>P0 Critical</x:v>
      </x:c>
      <x:c r="D63" s="35" t="str">
        <x:v>R2; R3; R6</x:v>
      </x:c>
      <x:c r="E63" s="35" t="str">
        <x:v>Rewrite</x:v>
      </x:c>
      <x:c r="F63" s="35" t="str">
        <x:v>Rewrite title and abstract after the structural decisions and reruns</x:v>
      </x:c>
      <x:c r="G63" s="35" t="str">
        <x:v>The abstract currently combines modeling, theory and cluster-scale claims more strongly than the evidence supports.</x:v>
      </x:c>
      <x:c r="H63" s="35" t="str">
        <x:v>• State the exact experimental environment.
• Report only validated headline numbers.
• Remove or bound unsupported novelty and convergence claims.</x:v>
      </x:c>
      <x:c r="I63" s="35" t="str">
        <x:v>Every abstract sentence is directly supported by the revised manuscript.</x:v>
      </x:c>
      <x:c r="J63" s="35" t="str">
        <x:v>Final title and abstract</x:v>
      </x:c>
      <x:c r="K63" s="35" t="str">
        <x:v>D1-08; G0-06; E4 results</x:v>
      </x:c>
      <x:c r="L63" s="35" t="str">
        <x:v>Aditya + Guide</x:v>
      </x:c>
      <x:c r="M63" s="35" t="str">
        <x:v>Week 5</x:v>
      </x:c>
      <x:c r="N63" s="35" t="str">
        <x:v>Not Started</x:v>
      </x:c>
      <x:c r="O63" s="41" t="n">
        <x:v>0</x:v>
      </x:c>
      <x:c r="P63" s="35" t="str">
        <x:v>Yes</x:v>
      </x:c>
      <x:c r="Q63" s="35" t="str">
        <x:v>No</x:v>
      </x:c>
      <x:c r="R63" s="35" t="str">
        <x:v>Title; Abstract</x:v>
      </x:c>
      <x:c r="S63" s="35" t="str">
        <x:v>R2/R3/R6</x:v>
      </x:c>
      <x:c r="T63" s="35" t="str">
        <x:v>Resolution package added 2026-07-18; see columns U:Z. Keep task open until the stated evidence/acceptance test is satisfied.</x:v>
      </x:c>
      <x:c r="U63" s="148" t="str">
        <x:v>Rewrite title/abstract around multi-scale modeling plus single-server branch-parallel multi-GPU execution; include only rerun-validated numbers and no theorem/first/population-scale language.</x:v>
      </x:c>
      <x:c r="V63" s="149" t="str">
        <x:v>The original abstract combines architecture, physical distribution, causal guarantee and near-linear scaling beyond the evidence.</x:v>
      </x:c>
      <x:c r="W63" s="149" t="str">
        <x:v>Use the title in D1-06. Abstract structure: problem; architecture; exact hardware/protocol; corrected evaluation splits; validated predictive and throughput results with CIs; explicit scope boundary.</x:v>
      </x:c>
      <x:c r="X63" s="149" t="str">
        <x:v>We substantially rewrote the title and abstract to reflect the evaluated hardware, corrected protocols and reduced claims.</x:v>
      </x:c>
      <x:c r="Y63" s="149" t="str">
        <x:v>Final abstract numbers trace to logs and match tables exactly.</x:v>
      </x:c>
      <x:c r="Z63" s="150" t="str">
        <x:v>Text blueprint complete; numbers await reruns</x:v>
      </x:c>
    </x:row>
    <x:row r="64" ht="150" customHeight="1">
      <x:c r="A64" s="37" t="str">
        <x:v>W5-02</x:v>
      </x:c>
      <x:c r="B64" s="39" t="str">
        <x:v>5. Writing &amp; Positioning</x:v>
      </x:c>
      <x:c r="C64" s="35" t="str">
        <x:v>P1 Major</x:v>
      </x:c>
      <x:c r="D64" s="35" t="str">
        <x:v>R3</x:v>
      </x:c>
      <x:c r="E64" s="35" t="str">
        <x:v>Contributions</x:v>
      </x:c>
      <x:c r="F64" s="35" t="str">
        <x:v>Rewrite the contribution list as falsifiable, evidence-backed statements</x:v>
      </x:c>
      <x:c r="G64" s="35" t="str">
        <x:v>A contribution should describe what is new and what was demonstrated, not promise a broad capability.</x:v>
      </x:c>
      <x:c r="H64" s="35" t="str">
        <x:v>• Separate architecture, protocol, partitioning, personalization and evaluation.
• Remove items that are not independently novel.
• Attach each contribution to a section and result.</x:v>
      </x:c>
      <x:c r="I64" s="35" t="str">
        <x:v>Each contribution has a precise implementation and evaluation trail.</x:v>
      </x:c>
      <x:c r="J64" s="35" t="str">
        <x:v>Revised contributions subsection</x:v>
      </x:c>
      <x:c r="K64" s="35" t="str">
        <x:v>D1-05; E4 results</x:v>
      </x:c>
      <x:c r="L64" s="35" t="str">
        <x:v>Aditya + Guide</x:v>
      </x:c>
      <x:c r="M64" s="35" t="str">
        <x:v>Week 5</x:v>
      </x:c>
      <x:c r="N64" s="35" t="str">
        <x:v>Not Started</x:v>
      </x:c>
      <x:c r="O64" s="41" t="n">
        <x:v>0</x:v>
      </x:c>
      <x:c r="P64" s="35" t="str">
        <x:v>No</x:v>
      </x:c>
      <x:c r="Q64" s="35" t="str">
        <x:v>No</x:v>
      </x:c>
      <x:c r="R64" s="35" t="str">
        <x:v>Section I-C</x:v>
      </x:c>
      <x:c r="S64" s="35" t="str">
        <x:v>R3</x:v>
      </x:c>
      <x:c r="T64" s="35" t="str">
        <x:v>Resolution package added 2026-07-18; see columns U:Z. Keep task open until the stated evidence/acceptance test is satisfied.</x:v>
      </x:c>
      <x:c r="U64" s="145" t="str">
        <x:v>Reduce contributions to falsifiable items: (1) multi-scale TCN/CSAG architecture, (2) branch-parallel single-server execution with defined version-lag control if retained, and (3) leakage-controlled evaluation including cold start. List personalization separately only if supported.</x:v>
      </x:c>
      <x:c r="V64" s="146" t="str">
        <x:v>The submitted five-item list presents established components and unproven guarantees as independent novelties.</x:v>
      </x:c>
      <x:c r="W64" s="146" t="str">
        <x:v>Attach each contribution to a section, baseline/ablation and acceptance result; remove SAP/TCP claims not actually implemented/tested.</x:v>
      </x:c>
      <x:c r="X64" s="146" t="str">
        <x:v>We rewrote the contributions to distinguish established components from the specific co-design and linked each claim to direct evidence.</x:v>
      </x:c>
      <x:c r="Y64" s="146" t="str">
        <x:v>Contribution-evidence crosswalk.</x:v>
      </x:c>
      <x:c r="Z64" s="147" t="str">
        <x:v>Positioning resolved; final evidence pending</x:v>
      </x:c>
    </x:row>
    <x:row r="65" ht="150" customHeight="1">
      <x:c r="A65" s="37" t="str">
        <x:v>W5-03</x:v>
      </x:c>
      <x:c r="B65" s="39" t="str">
        <x:v>5. Writing &amp; Positioning</x:v>
      </x:c>
      <x:c r="C65" s="35" t="str">
        <x:v>P0 Critical</x:v>
      </x:c>
      <x:c r="D65" s="35" t="str">
        <x:v>R1; R2; R6</x:v>
      </x:c>
      <x:c r="E65" s="35" t="str">
        <x:v>Problem statement</x:v>
      </x:c>
      <x:c r="F65" s="35" t="str">
        <x:v>Rewrite the temporal-causality problem statement narrowly and formally</x:v>
      </x:c>
      <x:c r="G65" s="35" t="str">
        <x:v>The current prose treats temporally distinct gradients as inherently non-exchangeable without defining the conditions.</x:v>
      </x:c>
      <x:c r="H65" s="35" t="str">
        <x:v>• Use the formal definition from D1-03.
• State the conditions under which the problem arises.
• Avoid generalizing to all temporal models or all DDP training.</x:v>
      </x:c>
      <x:c r="I65" s="35" t="str">
        <x:v>The problem statement is technically precise and matches the controlled experiments.</x:v>
      </x:c>
      <x:c r="J65" s="35" t="str">
        <x:v>Revised Sections I-B and II-C</x:v>
      </x:c>
      <x:c r="K65" s="35" t="str">
        <x:v>D1-03; E4-02</x:v>
      </x:c>
      <x:c r="L65" s="35" t="str">
        <x:v>Aditya + Guide</x:v>
      </x:c>
      <x:c r="M65" s="35" t="str">
        <x:v>Week 5</x:v>
      </x:c>
      <x:c r="N65" s="35" t="str">
        <x:v>Not Started</x:v>
      </x:c>
      <x:c r="O65" s="41" t="n">
        <x:v>0</x:v>
      </x:c>
      <x:c r="P65" s="35" t="str">
        <x:v>Yes</x:v>
      </x:c>
      <x:c r="Q65" s="35" t="str">
        <x:v>No</x:v>
      </x:c>
      <x:c r="R65" s="35" t="str">
        <x:v>Sections I-B, II-C</x:v>
      </x:c>
      <x:c r="S65" s="35" t="str">
        <x:v>R1/R2/R6</x:v>
      </x:c>
      <x:c r="T65" s="35" t="str">
        <x:v>Resolution package added 2026-07-18; see columns U:Z. Keep task open until the stated evidence/acceptance test is satisfied.</x:v>
      </x:c>
      <x:c r="U65" s="148" t="str">
        <x:v>Define any temporal-consistency problem only for a specified asynchronous/stateful training process; otherwise describe DDP differences empirically without causal language.</x:v>
      </x:c>
      <x:c r="V65" s="149" t="str">
        <x:v>Per-example causal convolutions preserve input order, so gradient exchangeability cannot be rejected merely because windows come from different times.</x:v>
      </x:c>
      <x:c r="W65" s="149" t="str">
        <x:v>Replace P2 and related work assertions with formal conditions and cite controlled results; remove 'standard data parallel violates temporal causality'.</x:v>
      </x:c>
      <x:c r="X65" s="149" t="str">
        <x:v>We narrowed the problem statement and no longer generalize the proposed failure mode to standard DDP or all temporal models.</x:v>
      </x:c>
      <x:c r="Y65" s="149" t="str">
        <x:v>Terminology/claim audit plus EX-01 evidence if mechanism retained.</x:v>
      </x:c>
      <x:c r="Z65" s="150" t="str">
        <x:v>Rewrite decision complete</x:v>
      </x:c>
    </x:row>
    <x:row r="66" ht="150" customHeight="1">
      <x:c r="A66" s="37" t="str">
        <x:v>W5-04</x:v>
      </x:c>
      <x:c r="B66" s="39" t="str">
        <x:v>5. Writing &amp; Positioning</x:v>
      </x:c>
      <x:c r="C66" s="35" t="str">
        <x:v>P1 Major</x:v>
      </x:c>
      <x:c r="D66" s="35" t="str">
        <x:v>R3</x:v>
      </x:c>
      <x:c r="E66" s="35" t="str">
        <x:v>Related work</x:v>
      </x:c>
      <x:c r="F66" s="35" t="str">
        <x:v>Add a closest-method comparison table</x:v>
      </x:c>
      <x:c r="G66" s="35" t="str">
        <x:v>The novelty is easier to assess when neighboring approaches are compared feature by feature.</x:v>
      </x:c>
      <x:c r="H66" s="35" t="str">
        <x:v>• Include multi-scale temporal models, distributed/pipeline methods, asynchronous training and personalization.
• Use only verified references.
• Compare objective, temporal scales, distribution mode, consistency mechanism and personalization.</x:v>
      </x:c>
      <x:c r="I66" s="35" t="str">
        <x:v>The reader can see the precise gap addressed by the revised method.</x:v>
      </x:c>
      <x:c r="J66" s="35" t="str">
        <x:v>Related-work comparison table</x:v>
      </x:c>
      <x:c r="K66" s="35" t="str">
        <x:v>G0-01; D1-05</x:v>
      </x:c>
      <x:c r="L66" s="35" t="str">
        <x:v>Aditya</x:v>
      </x:c>
      <x:c r="M66" s="35" t="str">
        <x:v>Week 5</x:v>
      </x:c>
      <x:c r="N66" s="35" t="str">
        <x:v>Not Started</x:v>
      </x:c>
      <x:c r="O66" s="41" t="n">
        <x:v>0</x:v>
      </x:c>
      <x:c r="P66" s="35" t="str">
        <x:v>No</x:v>
      </x:c>
      <x:c r="Q66" s="35" t="str">
        <x:v>No</x:v>
      </x:c>
      <x:c r="R66" s="35" t="str">
        <x:v>Section II</x:v>
      </x:c>
      <x:c r="S66" s="35" t="str">
        <x:v>R3</x:v>
      </x:c>
      <x:c r="T66" s="35" t="str">
        <x:v>Resolution package added 2026-07-18; see columns U:Z. Keep task open until the stated evidence/acceptance test is satisfied.</x:v>
      </x:c>
      <x:c r="U66" s="145" t="str">
        <x:v>Add a verified closest-method table spanning multi-scale temporal models, branch/model/pipeline parallelism, asynchronous training and lightweight personalization.</x:v>
      </x:c>
      <x:c r="V66" s="146" t="str">
        <x:v>A feature-level comparison lets reviewers assess novelty without relying on broad prose and prevents selective citation.</x:v>
      </x:c>
      <x:c r="W66" s="146" t="str">
        <x:v>Columns: temporal-scale mechanism, execution mapping, consistency assumption, personalization, evaluation scope and public artifact. Include only claims verified from primary papers.</x:v>
      </x:c>
      <x:c r="X66" s="146" t="str">
        <x:v>We added a closest-method comparison and clarified the precise distinction of our architecture/execution mapping.</x:v>
      </x:c>
      <x:c r="Y66" s="146" t="str">
        <x:v>Table entries checked against official/full primary sources.</x:v>
      </x:c>
      <x:c r="Z66" s="147" t="str">
        <x:v>Literature synthesis pending final reference set</x:v>
      </x:c>
    </x:row>
    <x:row r="67" ht="150" customHeight="1">
      <x:c r="A67" s="37" t="str">
        <x:v>W5-05</x:v>
      </x:c>
      <x:c r="B67" s="39" t="str">
        <x:v>5. Writing &amp; Positioning</x:v>
      </x:c>
      <x:c r="C67" s="35" t="str">
        <x:v>P1 Major</x:v>
      </x:c>
      <x:c r="D67" s="35" t="str">
        <x:v>R3</x:v>
      </x:c>
      <x:c r="E67" s="35" t="str">
        <x:v>Claims</x:v>
      </x:c>
      <x:c r="F67" s="35" t="str">
        <x:v>Remove or substantiate all 'first' and 'guarantee' language</x:v>
      </x:c>
      <x:c r="G67" s="35" t="str">
        <x:v>Unsupported superlatives invite a second rejection under binary review.</x:v>
      </x:c>
      <x:c r="H67" s="35" t="str">
        <x:v>• Search for first, novel, guarantee, scalable, near-linear, causal and population-scale.
• Retain only with direct evidence.
• Use measured scope and limitations.</x:v>
      </x:c>
      <x:c r="I67" s="35" t="str">
        <x:v>Claim audit shows zero unsupported superlatives.</x:v>
      </x:c>
      <x:c r="J67" s="35" t="str">
        <x:v>Completed claim audit</x:v>
      </x:c>
      <x:c r="K67" s="35" t="str">
        <x:v>D1-07; W5-01:W5-04</x:v>
      </x:c>
      <x:c r="L67" s="35" t="str">
        <x:v>Aditya</x:v>
      </x:c>
      <x:c r="M67" s="35" t="str">
        <x:v>Week 5</x:v>
      </x:c>
      <x:c r="N67" s="35" t="str">
        <x:v>Not Started</x:v>
      </x:c>
      <x:c r="O67" s="41" t="n">
        <x:v>0</x:v>
      </x:c>
      <x:c r="P67" s="35" t="str">
        <x:v>No</x:v>
      </x:c>
      <x:c r="Q67" s="35" t="str">
        <x:v>No</x:v>
      </x:c>
      <x:c r="R67" s="35" t="str">
        <x:v>Entire manuscript</x:v>
      </x:c>
      <x:c r="S67" s="35" t="str">
        <x:v>R3</x:v>
      </x:c>
      <x:c r="T67" s="35" t="str">
        <x:v>Resolution package added 2026-07-18; see columns U:Z. Keep task open until the stated evidence/acceptance test is satisfied.</x:v>
      </x:c>
      <x:c r="U67" s="148" t="str">
        <x:v>Remove unsupported 'first', 'guarantee', 'near-linear', 'population-scale', 'neuroscientifically grounded' and causal-proof language.</x:v>
      </x:c>
      <x:c r="V67" s="149" t="str">
        <x:v>These words triggered multiple reviewer objections and are not necessary to communicate measured contributions.</x:v>
      </x:c>
      <x:c r="W67" s="149" t="str">
        <x:v>Retain strong wording only when a task-specific evidence cell is complete; otherwise use scoped, descriptive language.</x:v>
      </x:c>
      <x:c r="X67" s="149" t="str">
        <x:v>We completed a strong-claim audit and replaced absolute statements with evidence-bounded wording.</x:v>
      </x:c>
      <x:c r="Y67" s="149" t="str">
        <x:v>Search log with zero unapproved strong terms.</x:v>
      </x:c>
      <x:c r="Z67" s="150" t="str">
        <x:v>Policy resolved; source edit pending</x:v>
      </x:c>
    </x:row>
    <x:row r="68" ht="150" customHeight="1">
      <x:c r="A68" s="37" t="str">
        <x:v>W5-06</x:v>
      </x:c>
      <x:c r="B68" s="39" t="str">
        <x:v>5. Writing &amp; Positioning</x:v>
      </x:c>
      <x:c r="C68" s="35" t="str">
        <x:v>P1 Major</x:v>
      </x:c>
      <x:c r="D68" s="35" t="str">
        <x:v>R2; R3; R6</x:v>
      </x:c>
      <x:c r="E68" s="35" t="str">
        <x:v>Limitations</x:v>
      </x:c>
      <x:c r="F68" s="35" t="str">
        <x:v>Expand the limitations section with concrete boundaries</x:v>
      </x:c>
      <x:c r="G68" s="35" t="str">
        <x:v>The paper acknowledges limitations but still makes broader claims elsewhere.</x:v>
      </x:c>
      <x:c r="H68" s="35" t="str">
        <x:v>• State hardware limits, dataset scale, cold start, fixed schedules and aggregator bottleneck.
• Add the limitations of simulated networking if retained.
• Explain what the results do not establish.</x:v>
      </x:c>
      <x:c r="I68" s="35" t="str">
        <x:v>Limitations are specific, consistent with the claims and referenced in the conclusion.</x:v>
      </x:c>
      <x:c r="J68" s="35" t="str">
        <x:v>Revised Section VIII</x:v>
      </x:c>
      <x:c r="K68" s="35" t="str">
        <x:v>D1-01; D1-02; E4 results</x:v>
      </x:c>
      <x:c r="L68" s="35" t="str">
        <x:v>Aditya + Guide</x:v>
      </x:c>
      <x:c r="M68" s="35" t="str">
        <x:v>Week 5</x:v>
      </x:c>
      <x:c r="N68" s="35" t="str">
        <x:v>Not Started</x:v>
      </x:c>
      <x:c r="O68" s="41" t="n">
        <x:v>0</x:v>
      </x:c>
      <x:c r="P68" s="35" t="str">
        <x:v>No</x:v>
      </x:c>
      <x:c r="Q68" s="35" t="str">
        <x:v>No</x:v>
      </x:c>
      <x:c r="R68" s="35" t="str">
        <x:v>Section VIII</x:v>
      </x:c>
      <x:c r="S68" s="35" t="str">
        <x:v>R2/R3/R6</x:v>
      </x:c>
      <x:c r="T68" s="35" t="str">
        <x:v>Resolution package added 2026-07-18; see columns U:Z. Keep task open until the stated evidence/acceptance test is satisfied.</x:v>
      </x:c>
      <x:c r="U68" s="145" t="str">
        <x:v>Expand limitations to state: single-server hardware, no physical cluster evidence, small datasets, corrected split scope, fixed schedules, StudentLife context cap, cold start, aggregator bottleneck and non-clinical use.</x:v>
      </x:c>
      <x:c r="V68" s="146" t="str">
        <x:v>A limitation is useful only if no broader claim elsewhere contradicts it.</x:v>
      </x:c>
      <x:c r="W68" s="146" t="str">
        <x:v>Add a 'What the study does not establish' paragraph and cross-check abstract/conclusion for consistency.</x:v>
      </x:c>
      <x:c r="X68" s="146" t="str">
        <x:v>We expanded limitations and aligned all other sections so the boundaries are explicit and non-contradictory.</x:v>
      </x:c>
      <x:c r="Y68" s="146" t="str">
        <x:v>Limitations-to-claims cross-check.</x:v>
      </x:c>
      <x:c r="Z68" s="147" t="str">
        <x:v>Exact content specified</x:v>
      </x:c>
    </x:row>
    <x:row r="69" ht="150" customHeight="1">
      <x:c r="A69" s="37" t="str">
        <x:v>W5-07</x:v>
      </x:c>
      <x:c r="B69" s="39" t="str">
        <x:v>5. Writing &amp; Positioning</x:v>
      </x:c>
      <x:c r="C69" s="35" t="str">
        <x:v>P1 Major</x:v>
      </x:c>
      <x:c r="D69" s="35" t="str">
        <x:v>R3</x:v>
      </x:c>
      <x:c r="E69" s="35" t="str">
        <x:v>Deployment</x:v>
      </x:c>
      <x:c r="F69" s="35" t="str">
        <x:v>Add a practical deployment discussion</x:v>
      </x:c>
      <x:c r="G69" s="35" t="str">
        <x:v>Reviewers asked for latency, communication, unseen subjects and operational constraints.</x:v>
      </x:c>
      <x:c r="H69" s="35" t="str">
        <x:v>• Describe training and inference topology separately.
• Discuss new-subject onboarding, failure handling and privacy boundaries.
• Tie deployment statements to measured latency and communication.</x:v>
      </x:c>
      <x:c r="I69" s="35" t="str">
        <x:v>Deployment guidance is concrete and does not exceed the evaluated setting.</x:v>
      </x:c>
      <x:c r="J69" s="35" t="str">
        <x:v>Deployment subsection</x:v>
      </x:c>
      <x:c r="K69" s="35" t="str">
        <x:v>E4-07; E4-12; E4-17</x:v>
      </x:c>
      <x:c r="L69" s="35" t="str">
        <x:v>Aditya</x:v>
      </x:c>
      <x:c r="M69" s="35" t="str">
        <x:v>Week 5</x:v>
      </x:c>
      <x:c r="N69" s="35" t="str">
        <x:v>Not Started</x:v>
      </x:c>
      <x:c r="O69" s="41" t="n">
        <x:v>0</x:v>
      </x:c>
      <x:c r="P69" s="35" t="str">
        <x:v>No</x:v>
      </x:c>
      <x:c r="Q69" s="35" t="str">
        <x:v>No</x:v>
      </x:c>
      <x:c r="R69" s="35" t="str">
        <x:v>Discussion</x:v>
      </x:c>
      <x:c r="S69" s="35" t="str">
        <x:v>R3</x:v>
      </x:c>
      <x:c r="T69" s="35" t="str">
        <x:v>Resolution package added 2026-07-18; see columns U:Z. Keep task open until the stated evidence/acceptance test is satisfied.</x:v>
      </x:c>
      <x:c r="U69" s="148" t="str">
        <x:v>Separate training topology from inference. Describe inference as a single fused model unless distributed inference is actually implemented; discuss new-subject UNK/few-shot path, privacy and failure handling.</x:v>
      </x:c>
      <x:c r="V69" s="149" t="str">
        <x:v>The submitted distributed-training story does not automatically imply a practical deployment topology or acceptable latency.</x:v>
      </x:c>
      <x:c r="W69" s="149" t="str">
        <x:v>Tie every latency/communication statement to measured hardware; avoid clinical deployment recommendations.</x:v>
      </x:c>
      <x:c r="X69" s="149" t="str">
        <x:v>We added a practical, scope-limited deployment discussion covering training, inference, cold start and privacy constraints.</x:v>
      </x:c>
      <x:c r="Y69" s="149" t="str">
        <x:v>Measured latency table and deployment diagram consistent with code.</x:v>
      </x:c>
      <x:c r="Z69" s="150" t="str">
        <x:v>Discussion blueprint complete; measurements pending</x:v>
      </x:c>
    </x:row>
    <x:row r="70" ht="150" customHeight="1">
      <x:c r="A70" s="37" t="str">
        <x:v>W5-08</x:v>
      </x:c>
      <x:c r="B70" s="39" t="str">
        <x:v>5. Writing &amp; Positioning</x:v>
      </x:c>
      <x:c r="C70" s="35" t="str">
        <x:v>P2 Supporting</x:v>
      </x:c>
      <x:c r="D70" s="35" t="str">
        <x:v>R3</x:v>
      </x:c>
      <x:c r="E70" s="35" t="str">
        <x:v>Interpretability</x:v>
      </x:c>
      <x:c r="F70" s="35" t="str">
        <x:v>Qualify the CSAG attention interpretation</x:v>
      </x:c>
      <x:c r="G70" s="35" t="str">
        <x:v>Attention weights can be descriptive without proving causal importance.</x:v>
      </x:c>
      <x:c r="H70" s="35" t="str">
        <x:v>• Describe them as post-hoc model behavior.
• Avoid equating attention with explanation or mechanism.
• Cross-reference ablation evidence.</x:v>
      </x:c>
      <x:c r="I70" s="35" t="str">
        <x:v>Interpretability wording is cautious and evidence-aligned.</x:v>
      </x:c>
      <x:c r="J70" s="35" t="str">
        <x:v>Revised attention-analysis text</x:v>
      </x:c>
      <x:c r="K70" s="35" t="str">
        <x:v>E4-10</x:v>
      </x:c>
      <x:c r="L70" s="35" t="str">
        <x:v>Aditya</x:v>
      </x:c>
      <x:c r="M70" s="35" t="str">
        <x:v>Week 5</x:v>
      </x:c>
      <x:c r="N70" s="35" t="str">
        <x:v>Not Started</x:v>
      </x:c>
      <x:c r="O70" s="41" t="n">
        <x:v>0</x:v>
      </x:c>
      <x:c r="P70" s="35" t="str">
        <x:v>No</x:v>
      </x:c>
      <x:c r="Q70" s="35" t="str">
        <x:v>No</x:v>
      </x:c>
      <x:c r="R70" s="35" t="str">
        <x:v>Section VII-B</x:v>
      </x:c>
      <x:c r="S70" s="35" t="str">
        <x:v>R3</x:v>
      </x:c>
      <x:c r="T70" s="35" t="str">
        <x:v>Resolution package added 2026-07-18; see columns U:Z. Keep task open until the stated evidence/acceptance test is satisfied.</x:v>
      </x:c>
      <x:c r="U70" s="145" t="str">
        <x:v>Describe CSAG weights as descriptive post-hoc behavior, not causal explanation or proof of branch importance.</x:v>
      </x:c>
      <x:c r="V70" s="146" t="str">
        <x:v>Attention weights can be unstable and do not establish feature or mechanism causality; ablations provide stronger but still model-specific evidence.</x:v>
      </x:c>
      <x:c r="W70" s="146" t="str">
        <x:v>Replace 'interpretability' claims with 'attention-weight analysis', report variability, and cross-reference matched fusion/branch ablations.</x:v>
      </x:c>
      <x:c r="X70" s="146" t="str">
        <x:v>We qualified the attention analysis and no longer equate attention weights with causal explanation.</x:v>
      </x:c>
      <x:c r="Y70" s="146" t="str">
        <x:v>Revised captions/text and ablation cross-reference.</x:v>
      </x:c>
      <x:c r="Z70" s="147" t="str">
        <x:v>Text correction resolved</x:v>
      </x:c>
    </x:row>
    <x:row r="71" ht="150" customHeight="1">
      <x:c r="A71" s="37" t="str">
        <x:v>W5-09</x:v>
      </x:c>
      <x:c r="B71" s="39" t="str">
        <x:v>5. Writing &amp; Positioning</x:v>
      </x:c>
      <x:c r="C71" s="35" t="str">
        <x:v>P1 Major</x:v>
      </x:c>
      <x:c r="D71" s="35" t="str">
        <x:v>R2; R3; R6</x:v>
      </x:c>
      <x:c r="E71" s="35" t="str">
        <x:v>Conclusion</x:v>
      </x:c>
      <x:c r="F71" s="35" t="str">
        <x:v>Rewrite the conclusion to match the final scope</x:v>
      </x:c>
      <x:c r="G71" s="35" t="str">
        <x:v>The conclusion repeats the strongest distributed and theoretical claims.</x:v>
      </x:c>
      <x:c r="H71" s="35" t="str">
        <x:v>• Report only revised numbers.
• Separate demonstrated findings from future work.
• Remove claims withdrawn during structural decisions.</x:v>
      </x:c>
      <x:c r="I71" s="35" t="str">
        <x:v>Conclusion contains no claim absent from the revised evidence.</x:v>
      </x:c>
      <x:c r="J71" s="35" t="str">
        <x:v>Revised Section IX</x:v>
      </x:c>
      <x:c r="K71" s="35" t="str">
        <x:v>W5-01:W5-08</x:v>
      </x:c>
      <x:c r="L71" s="35" t="str">
        <x:v>Aditya + Guide</x:v>
      </x:c>
      <x:c r="M71" s="35" t="str">
        <x:v>Week 5</x:v>
      </x:c>
      <x:c r="N71" s="35" t="str">
        <x:v>Not Started</x:v>
      </x:c>
      <x:c r="O71" s="41" t="n">
        <x:v>0</x:v>
      </x:c>
      <x:c r="P71" s="35" t="str">
        <x:v>No</x:v>
      </x:c>
      <x:c r="Q71" s="35" t="str">
        <x:v>No</x:v>
      </x:c>
      <x:c r="R71" s="35" t="str">
        <x:v>Section IX</x:v>
      </x:c>
      <x:c r="S71" s="35" t="str">
        <x:v>R2/R3/R6</x:v>
      </x:c>
      <x:c r="T71" s="35" t="str">
        <x:v>Resolution package added 2026-07-18; see columns U:Z. Keep task open until the stated evidence/acceptance test is satisfied.</x:v>
      </x:c>
      <x:c r="U71" s="148" t="str">
        <x:v>Rewrite the conclusion after reruns; report only validated predictive results and single-server GPU-worker speedup, then list physical clusters/adaptive scales/cold start as future work.</x:v>
      </x:c>
      <x:c r="V71" s="149" t="str">
        <x:v>The current conclusion repeats withdrawn theorem, causal and population-scale claims, which would negate the revision.</x:v>
      </x:c>
      <x:c r="W71" s="149" t="str">
        <x:v>Remove the cautionary generalization about DDP unless EX-01 supports it; remove bounded-staleness convergence and N=16 language.</x:v>
      </x:c>
      <x:c r="X71" s="149" t="str">
        <x:v>We revised the conclusion to distinguish demonstrated findings from unresolved future work and removed withdrawn claims.</x:v>
      </x:c>
      <x:c r="Y71" s="149" t="str">
        <x:v>Conclusion-to-abstract/table consistency check.</x:v>
      </x:c>
      <x:c r="Z71" s="150" t="str">
        <x:v>Rewrite scaffold complete; final values pending</x:v>
      </x:c>
    </x:row>
    <x:row r="72" ht="150" customHeight="1">
      <x:c r="A72" s="37" t="str">
        <x:v>W5-10</x:v>
      </x:c>
      <x:c r="B72" s="39" t="str">
        <x:v>5. Writing &amp; Positioning</x:v>
      </x:c>
      <x:c r="C72" s="35" t="str">
        <x:v>P1 Major</x:v>
      </x:c>
      <x:c r="D72" s="35" t="str">
        <x:v>R1</x:v>
      </x:c>
      <x:c r="E72" s="35" t="str">
        <x:v>Response strategy</x:v>
      </x:c>
      <x:c r="F72" s="35" t="str">
        <x:v>Prepare a respectful rebuttal to the 58.7 reading error</x:v>
      </x:c>
      <x:c r="G72" s="35" t="str">
        <x:v>The reviewer concern should be corrected without sounding adversarial.</x:v>
      </x:c>
      <x:c r="H72" s="35" t="str">
        <x:v>• Thank the reviewer for prompting verification.
• State that both text and Table 2 show 68.7 ± 2.3.
• Mention the new provenance audit and improved table resolution.</x:v>
      </x:c>
      <x:c r="I72" s="35" t="str">
        <x:v>Response includes evidence, action and page/line references.</x:v>
      </x:c>
      <x:c r="J72" s="35" t="str">
        <x:v>Response paragraph</x:v>
      </x:c>
      <x:c r="K72" s="35" t="str">
        <x:v>G0-07</x:v>
      </x:c>
      <x:c r="L72" s="35" t="str">
        <x:v>Aditya</x:v>
      </x:c>
      <x:c r="M72" s="35" t="str">
        <x:v>Week 6</x:v>
      </x:c>
      <x:c r="N72" s="35" t="str">
        <x:v>Not Started</x:v>
      </x:c>
      <x:c r="O72" s="41" t="n">
        <x:v>0</x:v>
      </x:c>
      <x:c r="P72" s="35" t="str">
        <x:v>No</x:v>
      </x:c>
      <x:c r="Q72" s="35" t="str">
        <x:v>No</x:v>
      </x:c>
      <x:c r="R72" s="35" t="str">
        <x:v>Response letter</x:v>
      </x:c>
      <x:c r="S72" s="35" t="str">
        <x:v>R1</x:v>
      </x:c>
      <x:c r="T72" s="35" t="str">
        <x:v>Resolution package added 2026-07-18; see columns U:Z. Keep task open until the stated evidence/acceptance test is satisfied.</x:v>
      </x:c>
      <x:c r="U72" s="145" t="str">
        <x:v>Use a factual, non-defensive correction for the 58.7 reading while acknowledging legibility and provenance improvements.</x:v>
      </x:c>
      <x:c r="V72" s="146" t="str">
        <x:v>A reviewer misread should be corrected, but arguing tone or dismissing the concern would be counterproductive.</x:v>
      </x:c>
      <x:c r="W72" s="146" t="str">
        <x:v>Response text: 'Both the submitted prose and Table 2 report 68.7 ± 2.3. We revalidated the value from raw runs and increased table legibility.' Add final page/line references.</x:v>
      </x:c>
      <x:c r="X72" s="146" t="str">
        <x:v>Thank you for prompting verification. The submitted value is 68.7 ± 2.3 in both locations; we have revalidated it and improved the rendering to prevent ambiguity.</x:v>
      </x:c>
      <x:c r="Y72" s="146" t="str">
        <x:v>PDF page and final response page/line; provenance log.</x:v>
      </x:c>
      <x:c r="Z72" s="147" t="str">
        <x:v>Response drafted</x:v>
      </x:c>
    </x:row>
    <x:row r="73" ht="150" customHeight="1">
      <x:c r="A73" s="37" t="str">
        <x:v>W5-11</x:v>
      </x:c>
      <x:c r="B73" s="39" t="str">
        <x:v>5. Writing &amp; Positioning</x:v>
      </x:c>
      <x:c r="C73" s="35" t="str">
        <x:v>P2 Supporting</x:v>
      </x:c>
      <x:c r="D73" s="35" t="str">
        <x:v>R1</x:v>
      </x:c>
      <x:c r="E73" s="35" t="str">
        <x:v>Response strategy</x:v>
      </x:c>
      <x:c r="F73" s="35" t="str">
        <x:v>Handle the alleged Algorithm 1 'date' typo as a rendering clarification</x:v>
      </x:c>
      <x:c r="G73" s="35" t="str">
        <x:v>The submitted PDF shows Δ_b += 1; the response should still acknowledge readability issues.</x:v>
      </x:c>
      <x:c r="H73" s="35" t="str">
        <x:v>• Verify the source and compiled PDF.
• Improve vector rendering.
• State politely that the operator was present and has been made clearer.</x:v>
      </x:c>
      <x:c r="I73" s="35" t="str">
        <x:v>Response resolves the concern and the revised algorithm is unmistakably legible.</x:v>
      </x:c>
      <x:c r="J73" s="35" t="str">
        <x:v>Response paragraph + revised algorithm</x:v>
      </x:c>
      <x:c r="K73" s="35" t="str">
        <x:v>T2-04; F6-03</x:v>
      </x:c>
      <x:c r="L73" s="35" t="str">
        <x:v>Aditya</x:v>
      </x:c>
      <x:c r="M73" s="35" t="str">
        <x:v>Week 6</x:v>
      </x:c>
      <x:c r="N73" s="35" t="str">
        <x:v>Not Started</x:v>
      </x:c>
      <x:c r="O73" s="41" t="n">
        <x:v>0</x:v>
      </x:c>
      <x:c r="P73" s="35" t="str">
        <x:v>No</x:v>
      </x:c>
      <x:c r="Q73" s="35" t="str">
        <x:v>No</x:v>
      </x:c>
      <x:c r="R73" s="35" t="str">
        <x:v>Algorithm 1; Response letter</x:v>
      </x:c>
      <x:c r="S73" s="35" t="str">
        <x:v>R1</x:v>
      </x:c>
      <x:c r="T73" s="35" t="str">
        <x:v>Resolution package added 2026-07-18; see columns U:Z. Keep task open until the stated evidence/acceptance test is satisfied.</x:v>
      </x:c>
      <x:c r="U73" s="148" t="str">
        <x:v>Clarify that Algorithm 1 contains Δ_b += 1, not a 'date' token, while accepting that rasterization/spacing made it hard to read.</x:v>
      </x:c>
      <x:c r="V73" s="149" t="str">
        <x:v>The source meaning appears correct in the submitted PDF extraction, but presentation quality created a legitimate review obstacle.</x:v>
      </x:c>
      <x:c r="W73" s="149" t="str">
        <x:v>Re-export the algorithm as vector text, increase line spacing, and ensure symbols match the rewritten version-counter semantics.</x:v>
      </x:c>
      <x:c r="X73" s="149" t="str">
        <x:v>The submitted operator was Δ_b += 1; we nevertheless redesigned and re-exported the algorithm for clarity and aligned it with the revised counter definition.</x:v>
      </x:c>
      <x:c r="Y73" s="149" t="str">
        <x:v>Source/PDF visual comparison at 100% and print size.</x:v>
      </x:c>
      <x:c r="Z73" s="150" t="str">
        <x:v>Response drafted; figure export pending</x:v>
      </x:c>
    </x:row>
    <x:row r="74" ht="150" customHeight="1">
      <x:c r="A74" s="37" t="str">
        <x:v>W5-12</x:v>
      </x:c>
      <x:c r="B74" s="39" t="str">
        <x:v>5. Writing &amp; Positioning</x:v>
      </x:c>
      <x:c r="C74" s="35" t="str">
        <x:v>P2 Supporting</x:v>
      </x:c>
      <x:c r="D74" s="35" t="str">
        <x:v>R5</x:v>
      </x:c>
      <x:c r="E74" s="35" t="str">
        <x:v>Citation decision</x:v>
      </x:c>
      <x:c r="F74" s="35" t="str">
        <x:v>Evaluate Reviewer 5's suggested citations individually</x:v>
      </x:c>
      <x:c r="G74" s="35" t="str">
        <x:v>Suggested references should be added only if they genuinely support the revised paper.</x:v>
      </x:c>
      <x:c r="H74" s="35" t="str">
        <x:v>• Read each paper.
• Map it to a specific manuscript claim or decline it politely.
• Never add citations solely to appease the reviewer.</x:v>
      </x:c>
      <x:c r="I74" s="35" t="str">
        <x:v>Each suggested reference has a documented include/decline decision.</x:v>
      </x:c>
      <x:c r="J74" s="35" t="str">
        <x:v>Citation decision notes + response paragraphs</x:v>
      </x:c>
      <x:c r="K74" s="35" t="str">
        <x:v>G0-05</x:v>
      </x:c>
      <x:c r="L74" s="35" t="str">
        <x:v>Aditya + Guide</x:v>
      </x:c>
      <x:c r="M74" s="35" t="str">
        <x:v>Week 5</x:v>
      </x:c>
      <x:c r="N74" s="35" t="str">
        <x:v>Not Started</x:v>
      </x:c>
      <x:c r="O74" s="41" t="n">
        <x:v>0</x:v>
      </x:c>
      <x:c r="P74" s="35" t="str">
        <x:v>No</x:v>
      </x:c>
      <x:c r="Q74" s="35" t="str">
        <x:v>Yes</x:v>
      </x:c>
      <x:c r="R74" s="35" t="str">
        <x:v>Related Work; Response letter</x:v>
      </x:c>
      <x:c r="S74" s="35" t="str">
        <x:v>R5</x:v>
      </x:c>
      <x:c r="T74" s="35" t="str">
        <x:v>Resolution package added 2026-07-18; see columns U:Z. Keep task open until the stated evidence/acceptance test is satisfied.</x:v>
      </x:c>
      <x:c r="U74" s="145" t="str">
        <x:v>Do not add suggested citations automatically. Evaluate each against a specific revised claim; decline irrelevant suggestions politely. The provided tracker does not include the three citation details, so final per-paper decisions require the original review text.</x:v>
      </x:c>
      <x:c r="V74" s="146" t="str">
        <x:v>Citation padding would repeat the integrity problem. Relevance and authoritative metadata must be established before addition.</x:v>
      </x:c>
      <x:c r="W74" s="146" t="str">
        <x:v>Add a small decision table once titles/DOIs are available: claim, relevance, decision and location. If none is relevant, explain that the revised scope no longer makes the corresponding claim.</x:v>
      </x:c>
      <x:c r="X74" s="146" t="str">
        <x:v>We reviewed each suggested work for direct relevance and added only sources that support a specific revised statement; we did not add citations solely in response to a request.</x:v>
      </x:c>
      <x:c r="Y74" s="146" t="str">
        <x:v>Original Reviewer 5 citation list plus official records and claim mapping.</x:v>
      </x:c>
      <x:c r="Z74" s="147" t="str">
        <x:v>Blocked only on missing citation details from the supplied materials</x:v>
      </x:c>
    </x:row>
    <x:row r="75" ht="150" customHeight="1">
      <x:c r="A75" s="37" t="str">
        <x:v>W5-13</x:v>
      </x:c>
      <x:c r="B75" s="39" t="str">
        <x:v>5. Writing &amp; Positioning</x:v>
      </x:c>
      <x:c r="C75" s="35" t="str">
        <x:v>P1 Major</x:v>
      </x:c>
      <x:c r="D75" s="35" t="str">
        <x:v>Editor</x:v>
      </x:c>
      <x:c r="E75" s="35" t="str">
        <x:v>Traceability</x:v>
      </x:c>
      <x:c r="F75" s="35" t="str">
        <x:v>Add page, section and line references to every reviewer response</x:v>
      </x:c>
      <x:c r="G75" s="35" t="str">
        <x:v>A response is persuasive only when the editor can locate the exact change quickly.</x:v>
      </x:c>
      <x:c r="H75" s="35" t="str">
        <x:v>• Use one concern-response-action block per comment.
• Quote the revised wording where useful.
• Record page and line numbers after final typesetting.</x:v>
      </x:c>
      <x:c r="I75" s="35" t="str">
        <x:v>Every response item points to an exact location and deliverable.</x:v>
      </x:c>
      <x:c r="J75" s="35" t="str">
        <x:v>Completed response matrix</x:v>
      </x:c>
      <x:c r="K75" s="35" t="str">
        <x:v>W5-01:W5-12; F6 complete</x:v>
      </x:c>
      <x:c r="L75" s="35" t="str">
        <x:v>Aditya</x:v>
      </x:c>
      <x:c r="M75" s="35" t="str">
        <x:v>Week 6</x:v>
      </x:c>
      <x:c r="N75" s="35" t="str">
        <x:v>Not Started</x:v>
      </x:c>
      <x:c r="O75" s="41" t="n">
        <x:v>0</x:v>
      </x:c>
      <x:c r="P75" s="35" t="str">
        <x:v>No</x:v>
      </x:c>
      <x:c r="Q75" s="35" t="str">
        <x:v>No</x:v>
      </x:c>
      <x:c r="R75" s="35" t="str">
        <x:v>Response letter</x:v>
      </x:c>
      <x:c r="S75" s="35" t="str">
        <x:v>Editor</x:v>
      </x:c>
      <x:c r="T75" s="35" t="str">
        <x:v>Resolution package added 2026-07-18; see columns U:Z. Keep task open until the stated evidence/acceptance test is satisfied.</x:v>
      </x:c>
      <x:c r="U75" s="148" t="str">
        <x:v>Use one response block per original comment with concern, decision, action, evidence and final page/line references.</x:v>
      </x:c>
      <x:c r="V75" s="149" t="str">
        <x:v>Eight reviewers and many cross-cutting changes make narrative-only responses hard to audit and easy to miss.</x:v>
      </x:c>
      <x:c r="W75" s="149" t="str">
        <x:v>Populate locations after final typesetting and verify every page/line against both clean and highlighted PDFs.</x:v>
      </x:c>
      <x:c r="X75" s="149" t="str">
        <x:v>For each concern, we state the decision, scientific rationale, exact change and location, with evidence where a claim was retained.</x:v>
      </x:c>
      <x:c r="Y75" s="149" t="str">
        <x:v>Response matrix with no blank comment/location fields.</x:v>
      </x:c>
      <x:c r="Z75" s="150" t="str">
        <x:v>Template resolved; final pagination pending</x:v>
      </x:c>
    </x:row>
    <x:row r="76" ht="150" customHeight="1">
      <x:c r="A76" s="37" t="str">
        <x:v>F6-01</x:v>
      </x:c>
      <x:c r="B76" s="39" t="str">
        <x:v>6. Presentation &amp; Formatting</x:v>
      </x:c>
      <x:c r="C76" s="35" t="str">
        <x:v>P2 Supporting</x:v>
      </x:c>
      <x:c r="D76" s="35" t="str">
        <x:v>R2</x:v>
      </x:c>
      <x:c r="E76" s="35" t="str">
        <x:v>Template</x:v>
      </x:c>
      <x:c r="F76" s="35" t="str">
        <x:v>Remove the 'VOLUME 4, 2016' placeholder throughout</x:v>
      </x:c>
      <x:c r="G76" s="35" t="str">
        <x:v>The placeholder signals insufficient final quality control.</x:v>
      </x:c>
      <x:c r="H76" s="35" t="str">
        <x:v>• Correct the IEEE Access template/footer.
• Inspect every page in the final PDF.</x:v>
      </x:c>
      <x:c r="I76" s="35" t="str">
        <x:v>No placeholder remains in source or PDF.</x:v>
      </x:c>
      <x:c r="J76" s="35" t="str">
        <x:v>Clean PDF check</x:v>
      </x:c>
      <x:c r="K76" s="35" t="str">
        <x:v>W5 complete</x:v>
      </x:c>
      <x:c r="L76" s="35" t="str">
        <x:v>Aditya</x:v>
      </x:c>
      <x:c r="M76" s="35" t="str">
        <x:v>Week 6</x:v>
      </x:c>
      <x:c r="N76" s="35" t="str">
        <x:v>Not Started</x:v>
      </x:c>
      <x:c r="O76" s="41" t="n">
        <x:v>0</x:v>
      </x:c>
      <x:c r="P76" s="35" t="str">
        <x:v>No</x:v>
      </x:c>
      <x:c r="Q76" s="35" t="str">
        <x:v>No</x:v>
      </x:c>
      <x:c r="R76" s="35" t="str">
        <x:v>All pages</x:v>
      </x:c>
      <x:c r="S76" s="35" t="str">
        <x:v>R2</x:v>
      </x:c>
      <x:c r="T76" s="35" t="str">
        <x:v>Resolution package added 2026-07-18; see columns U:Z. Keep task open until the stated evidence/acceptance test is satisfied.</x:v>
      </x:c>
      <x:c r="U76" s="145" t="str">
        <x:v>Remove the 'VOLUME 4, 2016' placeholder from every page using the current IEEE Access template settings.</x:v>
      </x:c>
      <x:c r="V76" s="146" t="str">
        <x:v>The placeholder visibly marks the file as an unfinalized template and was explicitly cited by the reviewer.</x:v>
      </x:c>
      <x:c r="W76" s="146" t="str">
        <x:v>Update the document class/header configuration and inspect all pages after portal conversion.</x:v>
      </x:c>
      <x:c r="X76" s="146" t="str">
        <x:v>We corrected the template footer and verified the change throughout the manuscript.</x:v>
      </x:c>
      <x:c r="Y76" s="146" t="str">
        <x:v>15-page visual QA or final-page count equivalent.</x:v>
      </x:c>
      <x:c r="Z76" s="147" t="str">
        <x:v>Formatting fix pending source access</x:v>
      </x:c>
    </x:row>
    <x:row r="77" ht="150" customHeight="1">
      <x:c r="A77" s="37" t="str">
        <x:v>F6-02</x:v>
      </x:c>
      <x:c r="B77" s="39" t="str">
        <x:v>6. Presentation &amp; Formatting</x:v>
      </x:c>
      <x:c r="C77" s="35" t="str">
        <x:v>P2 Supporting</x:v>
      </x:c>
      <x:c r="D77" s="35" t="str">
        <x:v>R4</x:v>
      </x:c>
      <x:c r="E77" s="35" t="str">
        <x:v>Tables</x:v>
      </x:c>
      <x:c r="F77" s="35" t="str">
        <x:v>Fix Table 2 and Table 5 headers and labels</x:v>
      </x:c>
      <x:c r="G77" s="35" t="str">
        <x:v>Garbled labels reduce trust and caused at least one reviewer misreading.</x:v>
      </x:c>
      <x:c r="H77" s="35" t="str">
        <x:v>• Use 'Comm. (MB/epoch)' or an equally clear header.
• Use explicit ablation labels such as 'w/o MSB'.
• Increase table text size and spacing.</x:v>
      </x:c>
      <x:c r="I77" s="35" t="str">
        <x:v>All tables are readable at 100% zoom and in print.</x:v>
      </x:c>
      <x:c r="J77" s="35" t="str">
        <x:v>Revised tables</x:v>
      </x:c>
      <x:c r="K77" s="35" t="str">
        <x:v>G0-07</x:v>
      </x:c>
      <x:c r="L77" s="35" t="str">
        <x:v>Aditya</x:v>
      </x:c>
      <x:c r="M77" s="35" t="str">
        <x:v>Week 6</x:v>
      </x:c>
      <x:c r="N77" s="35" t="str">
        <x:v>Not Started</x:v>
      </x:c>
      <x:c r="O77" s="41" t="n">
        <x:v>0</x:v>
      </x:c>
      <x:c r="P77" s="35" t="str">
        <x:v>No</x:v>
      </x:c>
      <x:c r="Q77" s="35" t="str">
        <x:v>No</x:v>
      </x:c>
      <x:c r="R77" s="35" t="str">
        <x:v>Tables 2 and 5</x:v>
      </x:c>
      <x:c r="S77" s="35" t="str">
        <x:v>R4</x:v>
      </x:c>
      <x:c r="T77" s="35" t="str">
        <x:v>Resolution package added 2026-07-18; see columns U:Z. Keep task open until the stated evidence/acceptance test is satisfied.</x:v>
      </x:c>
      <x:c r="U77" s="148" t="str">
        <x:v>Rebuild Tables 2 and 5 with unambiguous headers, spaced ablation names and readable vector text.</x:v>
      </x:c>
      <x:c r="V77" s="149" t="str">
        <x:v>Dense/garbled typography contributed to the 68.7 misread and reduces confidence in the results.</x:v>
      </x:c>
      <x:c r="W77" s="149" t="str">
        <x:v>Use 'Throughput (samples/s)', 'Efficiency η_N', 'Communication (MB/epoch)', and labels such as 'w/o SSB'; define all abbreviations in captions.</x:v>
      </x:c>
      <x:c r="X77" s="149" t="str">
        <x:v>We redesigned the tables for legibility and standardized all labels and units.</x:v>
      </x:c>
      <x:c r="Y77" s="149" t="str">
        <x:v>Print-size visual check and accessible text extraction.</x:v>
      </x:c>
      <x:c r="Z77" s="150" t="str">
        <x:v>Formatting specification complete</x:v>
      </x:c>
    </x:row>
    <x:row r="78" ht="150" customHeight="1">
      <x:c r="A78" s="37" t="str">
        <x:v>F6-03</x:v>
      </x:c>
      <x:c r="B78" s="39" t="str">
        <x:v>6. Presentation &amp; Formatting</x:v>
      </x:c>
      <x:c r="C78" s="35" t="str">
        <x:v>P1 Major</x:v>
      </x:c>
      <x:c r="D78" s="35" t="str">
        <x:v>R1</x:v>
      </x:c>
      <x:c r="E78" s="35" t="str">
        <x:v>Figures</x:v>
      </x:c>
      <x:c r="F78" s="35" t="str">
        <x:v>Re-export architectural diagrams and algorithms as vector graphics</x:v>
      </x:c>
      <x:c r="G78" s="35" t="str">
        <x:v>Blurred equations and labels impair technical review.</x:v>
      </x:c>
      <x:c r="H78" s="35" t="str">
        <x:v>• Use PDF/SVG/vector output where supported.
• Ensure fonts are embedded and notation matches the text.
• Check at single-column and double-column print size.</x:v>
      </x:c>
      <x:c r="I78" s="35" t="str">
        <x:v>Figures 1–3 and Algorithm 1 are crisp and legible at final size.</x:v>
      </x:c>
      <x:c r="J78" s="35" t="str">
        <x:v>Vector assets + final PDF</x:v>
      </x:c>
      <x:c r="K78" s="35" t="str">
        <x:v>T2 complete</x:v>
      </x:c>
      <x:c r="L78" s="35" t="str">
        <x:v>Aditya</x:v>
      </x:c>
      <x:c r="M78" s="35" t="str">
        <x:v>Week 6</x:v>
      </x:c>
      <x:c r="N78" s="35" t="str">
        <x:v>Not Started</x:v>
      </x:c>
      <x:c r="O78" s="41" t="n">
        <x:v>0</x:v>
      </x:c>
      <x:c r="P78" s="35" t="str">
        <x:v>No</x:v>
      </x:c>
      <x:c r="Q78" s="35" t="str">
        <x:v>No</x:v>
      </x:c>
      <x:c r="R78" s="35" t="str">
        <x:v>Figures 1–3; Algorithm 1</x:v>
      </x:c>
      <x:c r="S78" s="35" t="str">
        <x:v>R1</x:v>
      </x:c>
      <x:c r="T78" s="35" t="str">
        <x:v>Resolution package added 2026-07-18; see columns U:Z. Keep task open until the stated evidence/acceptance test is satisfied.</x:v>
      </x:c>
      <x:c r="U78" s="145" t="str">
        <x:v>Export Figures 1-3 and Algorithm 1 as true vector PDF/SVG-compatible assets with embedded fonts.</x:v>
      </x:c>
      <x:c r="V78" s="146" t="str">
        <x:v>The submission conversion made small notation and labels difficult to read, creating factual review errors.</x:v>
      </x:c>
      <x:c r="W78" s="146" t="str">
        <x:v>Use consistent notation from the revised text, minimum readable font size and no raster screenshots; inspect at one-column/double-column size.</x:v>
      </x:c>
      <x:c r="X78" s="146" t="str">
        <x:v>We re-exported the architecture and algorithm assets as vector graphics and verified readability at publication size.</x:v>
      </x:c>
      <x:c r="Y78" s="146" t="str">
        <x:v>pdffonts/vector inspection and page render at 100%/150%.</x:v>
      </x:c>
      <x:c r="Z78" s="147" t="str">
        <x:v>Asset regeneration pending</x:v>
      </x:c>
    </x:row>
    <x:row r="79" ht="150" customHeight="1">
      <x:c r="A79" s="37" t="str">
        <x:v>F6-04</x:v>
      </x:c>
      <x:c r="B79" s="39" t="str">
        <x:v>6. Presentation &amp; Formatting</x:v>
      </x:c>
      <x:c r="C79" s="35" t="str">
        <x:v>P2 Supporting</x:v>
      </x:c>
      <x:c r="D79" s="35" t="str">
        <x:v>R4</x:v>
      </x:c>
      <x:c r="E79" s="35" t="str">
        <x:v>Visual QA</x:v>
      </x:c>
      <x:c r="F79" s="35" t="str">
        <x:v>Standardize table and figure notation</x:v>
      </x:c>
      <x:c r="G79" s="35" t="str">
        <x:v>Inconsistent abbreviations and symbols make the paper harder to audit.</x:v>
      </x:c>
      <x:c r="H79" s="35" t="str">
        <x:v>• Define every abbreviation in captions.
• Use the same node/worker/GPU terminology.
• Standardize decimal places and uncertainty notation.</x:v>
      </x:c>
      <x:c r="I79" s="35" t="str">
        <x:v>Captions and tables use consistent terms, symbols and precision.</x:v>
      </x:c>
      <x:c r="J79" s="35" t="str">
        <x:v>Visual style checklist</x:v>
      </x:c>
      <x:c r="K79" s="35" t="str">
        <x:v>T2-07; W5 complete</x:v>
      </x:c>
      <x:c r="L79" s="35" t="str">
        <x:v>Aditya</x:v>
      </x:c>
      <x:c r="M79" s="35" t="str">
        <x:v>Week 6</x:v>
      </x:c>
      <x:c r="N79" s="35" t="str">
        <x:v>Not Started</x:v>
      </x:c>
      <x:c r="O79" s="41" t="n">
        <x:v>0</x:v>
      </x:c>
      <x:c r="P79" s="35" t="str">
        <x:v>No</x:v>
      </x:c>
      <x:c r="Q79" s="35" t="str">
        <x:v>No</x:v>
      </x:c>
      <x:c r="R79" s="35" t="str">
        <x:v>All figures/tables</x:v>
      </x:c>
      <x:c r="S79" s="35" t="str">
        <x:v>R4</x:v>
      </x:c>
      <x:c r="T79" s="35" t="str">
        <x:v>Resolution package added 2026-07-18; see columns U:Z. Keep task open until the stated evidence/acceptance test is satisfied.</x:v>
      </x:c>
      <x:c r="U79" s="148" t="str">
        <x:v>Standardize GPU worker/process/branch/replica terms, symbols, decimal precision, CI notation and units across every table and figure.</x:v>
      </x:c>
      <x:c r="V79" s="149" t="str">
        <x:v>Inconsistent terminology obscures resource mapping and makes cross-table comparisons unreliable.</x:v>
      </x:c>
      <x:c r="W79" s="149" t="str">
        <x:v>Create a notation glossary and use one style guide; captions define N, η_N, F1 scale and MB/MiB convention.</x:v>
      </x:c>
      <x:c r="X79" s="149" t="str">
        <x:v>We standardized terminology and notation across the manuscript and added definitions where each artifact can stand alone.</x:v>
      </x:c>
      <x:c r="Y79" s="149" t="str">
        <x:v>Automated text search plus manual figure/table audit.</x:v>
      </x:c>
      <x:c r="Z79" s="150" t="str">
        <x:v>Style decision complete</x:v>
      </x:c>
    </x:row>
    <x:row r="80" ht="150" customHeight="1">
      <x:c r="A80" s="37" t="str">
        <x:v>F6-05</x:v>
      </x:c>
      <x:c r="B80" s="39" t="str">
        <x:v>6. Presentation &amp; Formatting</x:v>
      </x:c>
      <x:c r="C80" s="35" t="str">
        <x:v>P3 Polish</x:v>
      </x:c>
      <x:c r="D80" s="35" t="str">
        <x:v>R4</x:v>
      </x:c>
      <x:c r="E80" s="35" t="str">
        <x:v>Biography</x:v>
      </x:c>
      <x:c r="F80" s="35" t="str">
        <x:v>Complete the guide's author biography</x:v>
      </x:c>
      <x:c r="G80" s="35" t="str">
        <x:v>The biography currently omits the Ph.D. field.</x:v>
      </x:c>
      <x:c r="H80" s="35" t="str">
        <x:v>• Confirm the exact degree field and institution.
• Update the biography with the guide's approval.</x:v>
      </x:c>
      <x:c r="I80" s="35" t="str">
        <x:v>Biography is complete and approved.</x:v>
      </x:c>
      <x:c r="J80" s="35" t="str">
        <x:v>Approved biography text</x:v>
      </x:c>
      <x:c r="K80" s="35" t="str"/>
      <x:c r="L80" s="35" t="str">
        <x:v>Guide</x:v>
      </x:c>
      <x:c r="M80" s="35" t="str">
        <x:v>Week 6</x:v>
      </x:c>
      <x:c r="N80" s="35" t="str">
        <x:v>Not Started</x:v>
      </x:c>
      <x:c r="O80" s="41" t="n">
        <x:v>0</x:v>
      </x:c>
      <x:c r="P80" s="35" t="str">
        <x:v>No</x:v>
      </x:c>
      <x:c r="Q80" s="35" t="str">
        <x:v>No</x:v>
      </x:c>
      <x:c r="R80" s="35" t="str">
        <x:v>Author biography</x:v>
      </x:c>
      <x:c r="S80" s="35" t="str">
        <x:v>R4</x:v>
      </x:c>
      <x:c r="T80" s="35" t="str">
        <x:v>Resolution package added 2026-07-18; see columns U:Z. Keep task open until the stated evidence/acceptance test is satisfied.</x:v>
      </x:c>
      <x:c r="U80" s="145" t="str">
        <x:v>Complete Dr. Basavaraj Hiremath's biography only from author-confirmed degree field, institution and year; do not infer missing details.</x:v>
      </x:c>
      <x:c r="V80" s="146" t="str">
        <x:v>The submitted biography says only 'received the Ph.D. degree', which is visibly incomplete, but guessing credentials is unacceptable.</x:v>
      </x:c>
      <x:c r="W80" s="146" t="str">
        <x:v>Obtain approved wording from the guide and update the final source/metadata consistently.</x:v>
      </x:c>
      <x:c r="X80" s="146" t="str">
        <x:v>We completed the biography using author-verified degree information.</x:v>
      </x:c>
      <x:c r="Y80" s="146" t="str">
        <x:v>Written author approval of exact biography text.</x:v>
      </x:c>
      <x:c r="Z80" s="147" t="str">
        <x:v>Blocked on guide-provided credential details</x:v>
      </x:c>
    </x:row>
    <x:row r="81" ht="150" customHeight="1">
      <x:c r="A81" s="37" t="str">
        <x:v>F6-06</x:v>
      </x:c>
      <x:c r="B81" s="39" t="str">
        <x:v>6. Presentation &amp; Formatting</x:v>
      </x:c>
      <x:c r="C81" s="35" t="str">
        <x:v>P2 Supporting</x:v>
      </x:c>
      <x:c r="D81" s="35" t="str">
        <x:v>R1; R3</x:v>
      </x:c>
      <x:c r="E81" s="35" t="str">
        <x:v>Language</x:v>
      </x:c>
      <x:c r="F81" s="35" t="str">
        <x:v>Run a full notation, grammar and cross-reference audit</x:v>
      </x:c>
      <x:c r="G81" s="35" t="str">
        <x:v>The revision will introduce many new equations, tables and sections.</x:v>
      </x:c>
      <x:c r="H81" s="35" t="str">
        <x:v>• Check equation, figure, table and section references.
• Check symbol definitions and tense.
• Use a final human review after any language tool.</x:v>
      </x:c>
      <x:c r="I81" s="35" t="str">
        <x:v>No broken cross-reference, undefined symbol or visible grammar issue remains.</x:v>
      </x:c>
      <x:c r="J81" s="35" t="str">
        <x:v>Final editorial checklist</x:v>
      </x:c>
      <x:c r="K81" s="35" t="str">
        <x:v>W5 complete</x:v>
      </x:c>
      <x:c r="L81" s="35" t="str">
        <x:v>Aditya + Guide</x:v>
      </x:c>
      <x:c r="M81" s="35" t="str">
        <x:v>Week 6</x:v>
      </x:c>
      <x:c r="N81" s="35" t="str">
        <x:v>Not Started</x:v>
      </x:c>
      <x:c r="O81" s="41" t="n">
        <x:v>0</x:v>
      </x:c>
      <x:c r="P81" s="35" t="str">
        <x:v>No</x:v>
      </x:c>
      <x:c r="Q81" s="35" t="str">
        <x:v>No</x:v>
      </x:c>
      <x:c r="R81" s="35" t="str">
        <x:v>Entire manuscript</x:v>
      </x:c>
      <x:c r="S81" s="35" t="str">
        <x:v>R1/R3</x:v>
      </x:c>
      <x:c r="T81" s="35" t="str">
        <x:v>Resolution package added 2026-07-18; see columns U:Z. Keep task open until the stated evidence/acceptance test is satisfied.</x:v>
      </x:c>
      <x:c r="U81" s="148" t="str">
        <x:v>Run a final human-led notation, grammar and cross-reference audit after all scientific edits, not before.</x:v>
      </x:c>
      <x:c r="V81" s="149" t="str">
        <x:v>Large structural changes will otherwise introduce broken references, stale claims and symbol conflicts.</x:v>
      </x:c>
      <x:c r="W81" s="149" t="str">
        <x:v>Check every equation/figure/table/section reference, acronym first use, tense, dataset count and numeric consistency; language tools may assist but authors approve every change.</x:v>
      </x:c>
      <x:c r="X81" s="149" t="str">
        <x:v>We completed a full notation, language and cross-reference audit on the locked final source.</x:v>
      </x:c>
      <x:c r="Y81" s="149" t="str">
        <x:v>Compilation log with no undefined references plus signed QA checklist.</x:v>
      </x:c>
      <x:c r="Z81" s="150" t="str">
        <x:v>Final-stage task</x:v>
      </x:c>
    </x:row>
    <x:row r="82" ht="150" customHeight="1">
      <x:c r="A82" s="37" t="str">
        <x:v>F6-07</x:v>
      </x:c>
      <x:c r="B82" s="39" t="str">
        <x:v>6. Presentation &amp; Formatting</x:v>
      </x:c>
      <x:c r="C82" s="35" t="str">
        <x:v>P2 Supporting</x:v>
      </x:c>
      <x:c r="D82" s="35" t="str">
        <x:v>Editor</x:v>
      </x:c>
      <x:c r="E82" s="35" t="str">
        <x:v>PDF QA</x:v>
      </x:c>
      <x:c r="F82" s="35" t="str">
        <x:v>Inspect the final PDF at 100%, 150% and print view</x:v>
      </x:c>
      <x:c r="G82" s="35" t="str">
        <x:v>Many reviewer concerns were amplified by rendering quality.</x:v>
      </x:c>
      <x:c r="H82" s="35" t="str">
        <x:v>• Inspect every page.
• Check clipping, font embedding, equations, legends and tables.
• Verify the highlighted version has the same pagination as the clean version where possible.</x:v>
      </x:c>
      <x:c r="I82" s="35" t="str">
        <x:v>A page-by-page PDF QA checklist is complete with zero unresolved issue.</x:v>
      </x:c>
      <x:c r="J82" s="35" t="str">
        <x:v>Signed PDF QA checklist</x:v>
      </x:c>
      <x:c r="K82" s="35" t="str">
        <x:v>F6-01:F6-06</x:v>
      </x:c>
      <x:c r="L82" s="35" t="str">
        <x:v>Aditya</x:v>
      </x:c>
      <x:c r="M82" s="35" t="str">
        <x:v>Week 6</x:v>
      </x:c>
      <x:c r="N82" s="35" t="str">
        <x:v>Not Started</x:v>
      </x:c>
      <x:c r="O82" s="41" t="n">
        <x:v>0</x:v>
      </x:c>
      <x:c r="P82" s="35" t="str">
        <x:v>No</x:v>
      </x:c>
      <x:c r="Q82" s="35" t="str">
        <x:v>No</x:v>
      </x:c>
      <x:c r="R82" s="35" t="str">
        <x:v>Final PDF</x:v>
      </x:c>
      <x:c r="S82" s="35" t="str">
        <x:v>Editor</x:v>
      </x:c>
      <x:c r="T82" s="35" t="str">
        <x:v>Resolution package added 2026-07-18; see columns U:Z. Keep task open until the stated evidence/acceptance test is satisfied.</x:v>
      </x:c>
      <x:c r="U82" s="145" t="str">
        <x:v>Inspect the clean and highlighted PDFs page-by-page at 100%, 150% and print scale after the portal conversion.</x:v>
      </x:c>
      <x:c r="V82" s="146" t="str">
        <x:v>The actual reviewer artifact includes conversion effects not visible in source, and prior legibility issues materially affected review.</x:v>
      </x:c>
      <x:c r="W82" s="146" t="str">
        <x:v>Check clipping, embedded fonts, equations, table text, legends, highlights, footer and pagination; repair every substantive defect.</x:v>
      </x:c>
      <x:c r="X82" s="146" t="str">
        <x:v>We performed page-level visual QA on both submission PDFs and corrected all rendering defects.</x:v>
      </x:c>
      <x:c r="Y82" s="146" t="str">
        <x:v>Dated PDF QA checklist with two-person sign-off.</x:v>
      </x:c>
      <x:c r="Z82" s="147" t="str">
        <x:v>Final-stage task</x:v>
      </x:c>
    </x:row>
    <x:row r="83" ht="150" customHeight="1">
      <x:c r="A83" s="37" t="str">
        <x:v>F6-08</x:v>
      </x:c>
      <x:c r="B83" s="39" t="str">
        <x:v>6. Presentation &amp; Formatting</x:v>
      </x:c>
      <x:c r="C83" s="35" t="str">
        <x:v>P2 Supporting</x:v>
      </x:c>
      <x:c r="D83" s="35" t="str">
        <x:v>R1; R3</x:v>
      </x:c>
      <x:c r="E83" s="35" t="str">
        <x:v>Supplement</x:v>
      </x:c>
      <x:c r="F83" s="35" t="str">
        <x:v>Prepare a structured supplementary appendix</x:v>
      </x:c>
      <x:c r="G83" s="35" t="str">
        <x:v>A full proof, extended experiments and reproducibility details may not fit cleanly in the main article.</x:v>
      </x:c>
      <x:c r="H83" s="35" t="str">
        <x:v>• Include proof or proposition details.
• Include additional tables, hyperparameters and run protocols.
• Cross-reference the supplement from the main text and response.</x:v>
      </x:c>
      <x:c r="I83" s="35" t="str">
        <x:v>Supplement is complete, numbered and consistent with the main manuscript.</x:v>
      </x:c>
      <x:c r="J83" s="35" t="str">
        <x:v>Supplementary PDF/source</x:v>
      </x:c>
      <x:c r="K83" s="35" t="str">
        <x:v>T2-10; E4 complete</x:v>
      </x:c>
      <x:c r="L83" s="35" t="str">
        <x:v>Aditya</x:v>
      </x:c>
      <x:c r="M83" s="35" t="str">
        <x:v>Week 6</x:v>
      </x:c>
      <x:c r="N83" s="35" t="str">
        <x:v>Not Started</x:v>
      </x:c>
      <x:c r="O83" s="41" t="n">
        <x:v>0</x:v>
      </x:c>
      <x:c r="P83" s="35" t="str">
        <x:v>No</x:v>
      </x:c>
      <x:c r="Q83" s="35" t="str">
        <x:v>No</x:v>
      </x:c>
      <x:c r="R83" s="35" t="str">
        <x:v>Supplement</x:v>
      </x:c>
      <x:c r="S83" s="35" t="str">
        <x:v>R1/R3</x:v>
      </x:c>
      <x:c r="T83" s="35" t="str">
        <x:v>Resolution package added 2026-07-18; see columns U:Z. Keep task open until the stated evidence/acceptance test is satisfied.</x:v>
      </x:c>
      <x:c r="U83" s="148" t="str">
        <x:v>Use a supplement for extended protocols, tests, hyperparameters, statistics and extra ablations; do not place the withdrawn convergence proof there.</x:v>
      </x:c>
      <x:c r="V83" s="149" t="str">
        <x:v>The main paper cannot carry every reproducibility detail, but moving an invalid proof to a supplement would not resolve the concern.</x:v>
      </x:c>
      <x:c r="W83" s="149" t="str">
        <x:v>Cross-reference supplement sections from the main text and response; ensure all supplement results share the same provenance gate.</x:v>
      </x:c>
      <x:c r="X83" s="149" t="str">
        <x:v>We added a structured supplement containing reproducibility and extended results while removing the unsupported theorem entirely.</x:v>
      </x:c>
      <x:c r="Y83" s="149" t="str">
        <x:v>Supplement table of contents and cross-reference audit.</x:v>
      </x:c>
      <x:c r="Z83" s="150" t="str">
        <x:v>Structure resolved; content pending reruns</x:v>
      </x:c>
    </x:row>
    <x:row r="84" ht="150" customHeight="1">
      <x:c r="A84" s="37" t="str">
        <x:v>S7-01</x:v>
      </x:c>
      <x:c r="B84" s="39" t="str">
        <x:v>7. Response &amp; Submission</x:v>
      </x:c>
      <x:c r="C84" s="35" t="str">
        <x:v>P0 Critical</x:v>
      </x:c>
      <x:c r="D84" s="35" t="str">
        <x:v>Editor</x:v>
      </x:c>
      <x:c r="E84" s="35" t="str">
        <x:v>Response matrix</x:v>
      </x:c>
      <x:c r="F84" s="35" t="str">
        <x:v>Create a reviewer-comment master matrix</x:v>
      </x:c>
      <x:c r="G84" s="35" t="str">
        <x:v>Eight reviewers create a high risk of silently missing a comment.</x:v>
      </x:c>
      <x:c r="H84" s="35" t="str">
        <x:v>• Copy each comment verbatim or faithfully summarize it.
• Map it to task IDs, manuscript locations and evidence.
• Mark accept, partially accept or respectfully rebut.</x:v>
      </x:c>
      <x:c r="I84" s="35" t="str">
        <x:v>Every reviewer comment appears exactly once with an assigned response and action.</x:v>
      </x:c>
      <x:c r="J84" s="35" t="str">
        <x:v>Reviewer Matrix completed</x:v>
      </x:c>
      <x:c r="K84" s="35" t="str">
        <x:v>All technical tasks planned</x:v>
      </x:c>
      <x:c r="L84" s="35" t="str">
        <x:v>Aditya</x:v>
      </x:c>
      <x:c r="M84" s="35" t="str">
        <x:v>Week 1–6</x:v>
      </x:c>
      <x:c r="N84" s="35" t="str">
        <x:v>Not Started</x:v>
      </x:c>
      <x:c r="O84" s="41" t="n">
        <x:v>0</x:v>
      </x:c>
      <x:c r="P84" s="35" t="str">
        <x:v>Yes</x:v>
      </x:c>
      <x:c r="Q84" s="35" t="str">
        <x:v>No</x:v>
      </x:c>
      <x:c r="R84" s="35" t="str">
        <x:v>Response package</x:v>
      </x:c>
      <x:c r="S84" s="35" t="str">
        <x:v>Editor</x:v>
      </x:c>
      <x:c r="T84" s="35" t="str">
        <x:v>Resolution package added 2026-07-18; see columns U:Z. Keep task open until the stated evidence/acceptance test is satisfied.</x:v>
      </x:c>
      <x:c r="U84" s="145" t="str">
        <x:v>Use this Master Tracker as the canonical comment-to-action matrix; no reviewer comment may be omitted or merged without an explicit mapping.</x:v>
      </x:c>
      <x:c r="V84" s="146" t="str">
        <x:v>The one-resubmission limit makes silent omission a critical administrative and scientific risk.</x:v>
      </x:c>
      <x:c r="W84" s="146" t="str">
        <x:v>Add the original verbatim comment IDs when the decision letter is available; link each to tasks, response stance, manuscript location and evidence.</x:v>
      </x:c>
      <x:c r="X84" s="146" t="str">
        <x:v>We mapped every reviewer and editor concern to a specific decision, change, evidence item and response block.</x:v>
      </x:c>
      <x:c r="Y84" s="146" t="str">
        <x:v>Reviewer Matrix and Master Tracker completeness check.</x:v>
      </x:c>
      <x:c r="Z84" s="147" t="str">
        <x:v>Resolution matrix populated; verbatim source comments should still be attached</x:v>
      </x:c>
    </x:row>
    <x:row r="85" ht="150" customHeight="1">
      <x:c r="A85" s="37" t="str">
        <x:v>S7-02</x:v>
      </x:c>
      <x:c r="B85" s="39" t="str">
        <x:v>7. Response &amp; Submission</x:v>
      </x:c>
      <x:c r="C85" s="35" t="str">
        <x:v>P0 Critical</x:v>
      </x:c>
      <x:c r="D85" s="35" t="str">
        <x:v>Editor</x:v>
      </x:c>
      <x:c r="E85" s="35" t="str">
        <x:v>Response document</x:v>
      </x:c>
      <x:c r="F85" s="35" t="str">
        <x:v>Write the formal response-to-reviewers document</x:v>
      </x:c>
      <x:c r="G85" s="35" t="str">
        <x:v>IEEE Access requires concern, response and action for every comment.</x:v>
      </x:c>
      <x:c r="H85" s="35" t="str">
        <x:v>• Use a professional, non-defensive tone.
• Lead with changes and evidence.
• For rebuttals, provide exact table/equation/page evidence.</x:v>
      </x:c>
      <x:c r="I85" s="35" t="str">
        <x:v>All reviewer comments have complete concern-response-action entries.</x:v>
      </x:c>
      <x:c r="J85" s="35" t="str">
        <x:v>Final Author Response PDF/DOCX</x:v>
      </x:c>
      <x:c r="K85" s="35" t="str">
        <x:v>S7-01; W5-13</x:v>
      </x:c>
      <x:c r="L85" s="35" t="str">
        <x:v>Aditya + Guide</x:v>
      </x:c>
      <x:c r="M85" s="35" t="str">
        <x:v>Week 6–7</x:v>
      </x:c>
      <x:c r="N85" s="35" t="str">
        <x:v>Not Started</x:v>
      </x:c>
      <x:c r="O85" s="41" t="n">
        <x:v>0</x:v>
      </x:c>
      <x:c r="P85" s="35" t="str">
        <x:v>Yes</x:v>
      </x:c>
      <x:c r="Q85" s="35" t="str">
        <x:v>No</x:v>
      </x:c>
      <x:c r="R85" s="35" t="str">
        <x:v>Response package</x:v>
      </x:c>
      <x:c r="S85" s="35" t="str">
        <x:v>Editor</x:v>
      </x:c>
      <x:c r="T85" s="35" t="str">
        <x:v>Resolution package added 2026-07-18; see columns U:Z. Keep task open until the stated evidence/acceptance test is satisfied.</x:v>
      </x:c>
      <x:c r="U85" s="148" t="str">
        <x:v>Write the response from the populated decision/justification/change columns, using accept/partial/rebut stances and never claiming an experiment is complete before evidence exists.</x:v>
      </x:c>
      <x:c r="V85" s="149" t="str">
        <x:v>A persuasive response must distinguish resolved reasoning from pending implementation and give evidence for every retained claim.</x:v>
      </x:c>
      <x:c r="W85" s="149" t="str">
        <x:v>Use concise concern-response-action-location blocks, quote exact new wording selectively, and attach final page/line numbers.</x:v>
      </x:c>
      <x:c r="X85" s="149" t="str">
        <x:v>We thank the reviewers and address each concern with the decision, rationale, exact revision and supporting evidence.</x:v>
      </x:c>
      <x:c r="Y85" s="149" t="str">
        <x:v>Final response document reconciled row-by-row with tracker.</x:v>
      </x:c>
      <x:c r="Z85" s="150" t="str">
        <x:v>Drafting can begin; empirical sections await reruns</x:v>
      </x:c>
    </x:row>
    <x:row r="86" ht="150" customHeight="1">
      <x:c r="A86" s="37" t="str">
        <x:v>S7-03</x:v>
      </x:c>
      <x:c r="B86" s="39" t="str">
        <x:v>7. Response &amp; Submission</x:v>
      </x:c>
      <x:c r="C86" s="35" t="str">
        <x:v>P0 Critical</x:v>
      </x:c>
      <x:c r="D86" s="35" t="str">
        <x:v>Editor</x:v>
      </x:c>
      <x:c r="E86" s="35" t="str">
        <x:v>Highlighted manuscript</x:v>
      </x:c>
      <x:c r="F86" s="35" t="str">
        <x:v>Produce the highlighted-changes PDF</x:v>
      </x:c>
      <x:c r="G86" s="35" t="str">
        <x:v>The editor requests every individual change, including grammar, to be highlighted.</x:v>
      </x:c>
      <x:c r="H86" s="35" t="str">
        <x:v>• Generate from the final source.
• Check that highlights do not hide equations or figures.
• Verify it matches the clean manuscript.</x:v>
      </x:c>
      <x:c r="I86" s="35" t="str">
        <x:v>Highlighted PDF is complete, readable and content-identical to the clean manuscript.</x:v>
      </x:c>
      <x:c r="J86" s="35" t="str">
        <x:v>Highlighted PDF</x:v>
      </x:c>
      <x:c r="K86" s="35" t="str">
        <x:v>Final manuscript locked</x:v>
      </x:c>
      <x:c r="L86" s="35" t="str">
        <x:v>Aditya</x:v>
      </x:c>
      <x:c r="M86" s="35" t="str">
        <x:v>Week 7</x:v>
      </x:c>
      <x:c r="N86" s="35" t="str">
        <x:v>Not Started</x:v>
      </x:c>
      <x:c r="O86" s="41" t="n">
        <x:v>0</x:v>
      </x:c>
      <x:c r="P86" s="35" t="str">
        <x:v>Yes</x:v>
      </x:c>
      <x:c r="Q86" s="35" t="str">
        <x:v>No</x:v>
      </x:c>
      <x:c r="R86" s="35" t="str">
        <x:v>Submission file</x:v>
      </x:c>
      <x:c r="S86" s="35" t="str">
        <x:v>Editor</x:v>
      </x:c>
      <x:c r="T86" s="35" t="str">
        <x:v>Resolution package added 2026-07-18; see columns U:Z. Keep task open until the stated evidence/acceptance test is satisfied.</x:v>
      </x:c>
      <x:c r="U86" s="145" t="str">
        <x:v>Generate the highlighted PDF only from the locked final source and highlight every substantive and language change without obscuring content.</x:v>
      </x:c>
      <x:c r="V86" s="146" t="str">
        <x:v>The editor explicitly requests traceable changes, and a manually assembled highlight file can diverge from the clean manuscript.</x:v>
      </x:c>
      <x:c r="W86" s="146" t="str">
        <x:v>Use a reproducible latexdiff/tracked-change workflow, then visually inspect equations, citations and floats.</x:v>
      </x:c>
      <x:c r="X86" s="146" t="str">
        <x:v>We supplied a highlighted manuscript generated from the same final source as the clean PDF.</x:v>
      </x:c>
      <x:c r="Y86" s="146" t="str">
        <x:v>Clean/highlighted text and page-structure comparison.</x:v>
      </x:c>
      <x:c r="Z86" s="147" t="str">
        <x:v>Final-stage task</x:v>
      </x:c>
    </x:row>
    <x:row r="87" ht="150" customHeight="1">
      <x:c r="A87" s="37" t="str">
        <x:v>S7-04</x:v>
      </x:c>
      <x:c r="B87" s="39" t="str">
        <x:v>7. Response &amp; Submission</x:v>
      </x:c>
      <x:c r="C87" s="35" t="str">
        <x:v>P0 Critical</x:v>
      </x:c>
      <x:c r="D87" s="35" t="str">
        <x:v>Editor</x:v>
      </x:c>
      <x:c r="E87" s="35" t="str">
        <x:v>Clean manuscript</x:v>
      </x:c>
      <x:c r="F87" s="35" t="str">
        <x:v>Produce the clean LaTeX/Word source and PDF</x:v>
      </x:c>
      <x:c r="G87" s="35" t="str">
        <x:v>IEEE requires clean source and PDF as the main manuscript.</x:v>
      </x:c>
      <x:c r="H87" s="35" t="str">
        <x:v>• Compile from the locked revision tag.
• Remove comments, highlights and tracked-change artifacts.
• Verify bibliography and supplementary references.</x:v>
      </x:c>
      <x:c r="I87" s="35" t="str">
        <x:v>Clean source compiles without warnings that affect content, and PDF passes QA.</x:v>
      </x:c>
      <x:c r="J87" s="35" t="str">
        <x:v>Clean source + PDF</x:v>
      </x:c>
      <x:c r="K87" s="35" t="str">
        <x:v>F6-07; G0-09</x:v>
      </x:c>
      <x:c r="L87" s="35" t="str">
        <x:v>Aditya</x:v>
      </x:c>
      <x:c r="M87" s="35" t="str">
        <x:v>Week 7</x:v>
      </x:c>
      <x:c r="N87" s="35" t="str">
        <x:v>Not Started</x:v>
      </x:c>
      <x:c r="O87" s="41" t="n">
        <x:v>0</x:v>
      </x:c>
      <x:c r="P87" s="35" t="str">
        <x:v>Yes</x:v>
      </x:c>
      <x:c r="Q87" s="35" t="str">
        <x:v>No</x:v>
      </x:c>
      <x:c r="R87" s="35" t="str">
        <x:v>Submission file</x:v>
      </x:c>
      <x:c r="S87" s="35" t="str">
        <x:v>Editor</x:v>
      </x:c>
      <x:c r="T87" s="35" t="str">
        <x:v>Resolution package added 2026-07-18; see columns U:Z. Keep task open until the stated evidence/acceptance test is satisfied.</x:v>
      </x:c>
      <x:c r="U87" s="148" t="str">
        <x:v>Compile the clean manuscript and source from the same locked tag as all evidence and response locations.</x:v>
      </x:c>
      <x:c r="V87" s="149" t="str">
        <x:v>Stale source or hidden tracked changes can invalidate bibliography and page references.</x:v>
      </x:c>
      <x:c r="W87" s="149" t="str">
        <x:v>Remove comments/highlights, compile from scratch, check bibliography and package only necessary source assets.</x:v>
      </x:c>
      <x:c r="X87" s="149" t="str">
        <x:v>We provided clean source and PDF generated from the locked revision used for all reported results.</x:v>
      </x:c>
      <x:c r="Y87" s="149" t="str">
        <x:v>Reproducible clean build and file manifest.</x:v>
      </x:c>
      <x:c r="Z87" s="150" t="str">
        <x:v>Final-stage task</x:v>
      </x:c>
    </x:row>
    <x:row r="88" ht="150" customHeight="1">
      <x:c r="A88" s="37" t="str">
        <x:v>S7-05</x:v>
      </x:c>
      <x:c r="B88" s="39" t="str">
        <x:v>7. Response &amp; Submission</x:v>
      </x:c>
      <x:c r="C88" s="35" t="str">
        <x:v>P0 Critical</x:v>
      </x:c>
      <x:c r="D88" s="35" t="str">
        <x:v>Editor</x:v>
      </x:c>
      <x:c r="E88" s="35" t="str">
        <x:v>Checklist</x:v>
      </x:c>
      <x:c r="F88" s="35" t="str">
        <x:v>Complete the IEEE Access resubmission checklist</x:v>
      </x:c>
      <x:c r="G88" s="35" t="str">
        <x:v>The resubmission is one-shot; administrative omissions can waste the technical revision.</x:v>
      </x:c>
      <x:c r="H88" s="35" t="str">
        <x:v>• Work through each checklist item.
• Confirm file names and submission categories.
• Confirm whether any author-list change form is needed.</x:v>
      </x:c>
      <x:c r="I88" s="35" t="str">
        <x:v>Every checklist item is completed and signed off.</x:v>
      </x:c>
      <x:c r="J88" s="35" t="str">
        <x:v>Completed checklist</x:v>
      </x:c>
      <x:c r="K88" s="35" t="str">
        <x:v>S7-02:S7-04</x:v>
      </x:c>
      <x:c r="L88" s="35" t="str">
        <x:v>Aditya</x:v>
      </x:c>
      <x:c r="M88" s="35" t="str">
        <x:v>Week 7</x:v>
      </x:c>
      <x:c r="N88" s="35" t="str">
        <x:v>Not Started</x:v>
      </x:c>
      <x:c r="O88" s="41" t="n">
        <x:v>0</x:v>
      </x:c>
      <x:c r="P88" s="35" t="str">
        <x:v>Yes</x:v>
      </x:c>
      <x:c r="Q88" s="35" t="str">
        <x:v>No</x:v>
      </x:c>
      <x:c r="R88" s="35" t="str">
        <x:v>Submission package</x:v>
      </x:c>
      <x:c r="S88" s="35" t="str">
        <x:v>Editor</x:v>
      </x:c>
      <x:c r="T88" s="35" t="str">
        <x:v>Resolution package added 2026-07-18; see columns U:Z. Keep task open until the stated evidence/acceptance test is satisfied.</x:v>
      </x:c>
      <x:c r="U88" s="145" t="str">
        <x:v>Complete the current IEEE Access resubmission checklist immediately before upload and record evidence for every item.</x:v>
      </x:c>
      <x:c r="V88" s="146" t="str">
        <x:v>Administrative requirements can change and the resubmission slot is limited, so memory or an old checklist is unsafe.</x:v>
      </x:c>
      <x:c r="W88" s="146" t="str">
        <x:v>Verify file categories, response/highlighted/clean files, source, supplements, author forms and portal requirements against the live instructions.</x:v>
      </x:c>
      <x:c r="X88" s="146" t="str">
        <x:v>We completed and independently checked every required resubmission item.</x:v>
      </x:c>
      <x:c r="Y88" s="146" t="str">
        <x:v>Dated checklist and portal screenshots/confirmation.</x:v>
      </x:c>
      <x:c r="Z88" s="147" t="str">
        <x:v>Final-stage task; verify against live portal</x:v>
      </x:c>
    </x:row>
    <x:row r="89" ht="150" customHeight="1">
      <x:c r="A89" s="37" t="str">
        <x:v>S7-06</x:v>
      </x:c>
      <x:c r="B89" s="39" t="str">
        <x:v>7. Response &amp; Submission</x:v>
      </x:c>
      <x:c r="C89" s="35" t="str">
        <x:v>P0 Critical</x:v>
      </x:c>
      <x:c r="D89" s="35" t="str">
        <x:v>All</x:v>
      </x:c>
      <x:c r="E89" s="35" t="str">
        <x:v>Red-team review</x:v>
      </x:c>
      <x:c r="F89" s="35" t="str">
        <x:v>Run an independent internal re-review against the original reviewer comments</x:v>
      </x:c>
      <x:c r="G89" s="35" t="str">
        <x:v>The revised paper should be tested as though the same reviewers will return.</x:v>
      </x:c>
      <x:c r="H89" s="35" t="str">
        <x:v>• Give the clean manuscript, response and supplement to a colleague not involved in drafting.
• Ask them to find any unresolved comment, unsupported claim or inconsistency.
• Close every red-team finding.</x:v>
      </x:c>
      <x:c r="I89" s="35" t="str">
        <x:v>Independent reviewer signs off that all comments are addressed.</x:v>
      </x:c>
      <x:c r="J89" s="35" t="str">
        <x:v>Red-team report</x:v>
      </x:c>
      <x:c r="K89" s="35" t="str">
        <x:v>S7-02:S7-05</x:v>
      </x:c>
      <x:c r="L89" s="35" t="str">
        <x:v>Independent colleague</x:v>
      </x:c>
      <x:c r="M89" s="35" t="str">
        <x:v>Week 7</x:v>
      </x:c>
      <x:c r="N89" s="35" t="str">
        <x:v>Not Started</x:v>
      </x:c>
      <x:c r="O89" s="41" t="n">
        <x:v>0</x:v>
      </x:c>
      <x:c r="P89" s="35" t="str">
        <x:v>Yes</x:v>
      </x:c>
      <x:c r="Q89" s="35" t="str">
        <x:v>No</x:v>
      </x:c>
      <x:c r="R89" s="35" t="str">
        <x:v>All files</x:v>
      </x:c>
      <x:c r="S89" s="35" t="str">
        <x:v>All</x:v>
      </x:c>
      <x:c r="T89" s="35" t="str">
        <x:v>Resolution package added 2026-07-18; see columns U:Z. Keep task open until the stated evidence/acceptance test is satisfied.</x:v>
      </x:c>
      <x:c r="U89" s="148" t="str">
        <x:v>Commission an independent red-team review using the original comments and reject any retained claim without a traceable source/result.</x:v>
      </x:c>
      <x:c r="V89" s="149" t="str">
        <x:v>Authors who performed the revision are likely to overlook familiar assumptions and response gaps.</x:v>
      </x:c>
      <x:c r="W89" s="149" t="str">
        <x:v>Reviewer receives clean PDF, supplement, response and tracker; log every finding and closure evidence.</x:v>
      </x:c>
      <x:c r="X89" s="149" t="str">
        <x:v>An independent colleague re-reviewed the complete package and all actionable findings were closed.</x:v>
      </x:c>
      <x:c r="Y89" s="149" t="str">
        <x:v>Red-team log and closure sign-off.</x:v>
      </x:c>
      <x:c r="Z89" s="150" t="str">
        <x:v>External review pending</x:v>
      </x:c>
    </x:row>
    <x:row r="90" ht="150" customHeight="1">
      <x:c r="A90" s="37" t="str">
        <x:v>S7-07</x:v>
      </x:c>
      <x:c r="B90" s="39" t="str">
        <x:v>7. Response &amp; Submission</x:v>
      </x:c>
      <x:c r="C90" s="35" t="str">
        <x:v>P0 Critical</x:v>
      </x:c>
      <x:c r="D90" s="35" t="str">
        <x:v>Editor</x:v>
      </x:c>
      <x:c r="E90" s="35" t="str">
        <x:v>Author approval</x:v>
      </x:c>
      <x:c r="F90" s="35" t="str">
        <x:v>Obtain final guide and coauthor approval</x:v>
      </x:c>
      <x:c r="G90" s="35" t="str">
        <x:v>The guide should approve the paper's scope, proof status, reference corrections and response tone.</x:v>
      </x:c>
      <x:c r="H90" s="35" t="str">
        <x:v>• Review final files together.
• Confirm author contributions and disclosure.
• Record approval before upload.</x:v>
      </x:c>
      <x:c r="I90" s="35" t="str">
        <x:v>All authors approve the exact files to be submitted.</x:v>
      </x:c>
      <x:c r="J90" s="35" t="str">
        <x:v>Written approval</x:v>
      </x:c>
      <x:c r="K90" s="35" t="str">
        <x:v>S7-06</x:v>
      </x:c>
      <x:c r="L90" s="35" t="str">
        <x:v>Guide + Aditya</x:v>
      </x:c>
      <x:c r="M90" s="35" t="str">
        <x:v>Week 7</x:v>
      </x:c>
      <x:c r="N90" s="35" t="str">
        <x:v>Not Started</x:v>
      </x:c>
      <x:c r="O90" s="41" t="n">
        <x:v>0</x:v>
      </x:c>
      <x:c r="P90" s="35" t="str">
        <x:v>Yes</x:v>
      </x:c>
      <x:c r="Q90" s="35" t="str">
        <x:v>No</x:v>
      </x:c>
      <x:c r="R90" s="35" t="str">
        <x:v>All files</x:v>
      </x:c>
      <x:c r="S90" s="35" t="str">
        <x:v>Editor</x:v>
      </x:c>
      <x:c r="T90" s="35" t="str">
        <x:v>Resolution package added 2026-07-18; see columns U:Z. Keep task open until the stated evidence/acceptance test is satisfied.</x:v>
      </x:c>
      <x:c r="U90" s="145" t="str">
        <x:v>Require final approval from both authors for scope, withdrawn theorem, reference replacements, results, disclosure and response tone.</x:v>
      </x:c>
      <x:c r="V90" s="146" t="str">
        <x:v>These are authorship-level scientific decisions, not formatting changes.</x:v>
      </x:c>
      <x:c r="W90" s="146" t="str">
        <x:v>Use a final approval checklist and prohibit upload while any P0 item lacks evidence or approval.</x:v>
      </x:c>
      <x:c r="X90" s="146" t="str">
        <x:v>Both authors approved the final scientific content, disclosures and submission files.</x:v>
      </x:c>
      <x:c r="Y90" s="146" t="str">
        <x:v>Dated written approvals.</x:v>
      </x:c>
      <x:c r="Z90" s="147" t="str">
        <x:v>Final governance gate</x:v>
      </x:c>
    </x:row>
    <x:row r="91" ht="150" customHeight="1">
      <x:c r="A91" s="37" t="str">
        <x:v>S7-08</x:v>
      </x:c>
      <x:c r="B91" s="39" t="str">
        <x:v>7. Response &amp; Submission</x:v>
      </x:c>
      <x:c r="C91" s="35" t="str">
        <x:v>P1 Major</x:v>
      </x:c>
      <x:c r="D91" s="35" t="str">
        <x:v>Editor</x:v>
      </x:c>
      <x:c r="E91" s="35" t="str">
        <x:v>Similarity</x:v>
      </x:c>
      <x:c r="F91" s="35" t="str">
        <x:v>Run a similarity check on the final manuscript</x:v>
      </x:c>
      <x:c r="G91" s="35" t="str">
        <x:v>A large rewrite can still contain accidental overlap from source wording or prior versions.</x:v>
      </x:c>
      <x:c r="H91" s="35" t="str">
        <x:v>• Review flagged passages manually.
• Fix inappropriate verbatim overlap.
• Do not distort standard technical phrases merely to lower a score.</x:v>
      </x:c>
      <x:c r="I91" s="35" t="str">
        <x:v>No unresolved inappropriate textual overlap remains.</x:v>
      </x:c>
      <x:c r="J91" s="35" t="str">
        <x:v>Similarity report + resolution notes</x:v>
      </x:c>
      <x:c r="K91" s="35" t="str">
        <x:v>S7-04</x:v>
      </x:c>
      <x:c r="L91" s="35" t="str">
        <x:v>Aditya</x:v>
      </x:c>
      <x:c r="M91" s="35" t="str">
        <x:v>Week 7</x:v>
      </x:c>
      <x:c r="N91" s="35" t="str">
        <x:v>Not Started</x:v>
      </x:c>
      <x:c r="O91" s="41" t="n">
        <x:v>0</x:v>
      </x:c>
      <x:c r="P91" s="35" t="str">
        <x:v>No</x:v>
      </x:c>
      <x:c r="Q91" s="35" t="str">
        <x:v>No</x:v>
      </x:c>
      <x:c r="R91" s="35" t="str">
        <x:v>Clean manuscript</x:v>
      </x:c>
      <x:c r="S91" s="35" t="str">
        <x:v>Editor</x:v>
      </x:c>
      <x:c r="T91" s="35" t="str">
        <x:v>Resolution package added 2026-07-18; see columns U:Z. Keep task open until the stated evidence/acceptance test is satisfied.</x:v>
      </x:c>
      <x:c r="U91" s="148" t="str">
        <x:v>Run a similarity check after the final rewrite and manually assess each flagged passage; correct improper overlap without paraphrasing standard terminology artificially.</x:v>
      </x:c>
      <x:c r="V91" s="149" t="str">
        <x:v>Extensive revision and response drafting can introduce copied phrasing from references or review text.</x:v>
      </x:c>
      <x:c r="W91" s="149" t="str">
        <x:v>Retain quotations only when necessary and cited; archive the report and disposition notes.</x:v>
      </x:c>
      <x:c r="X91" s="149" t="str">
        <x:v>We reviewed the final similarity report and corrected inappropriate textual overlap.</x:v>
      </x:c>
      <x:c r="Y91" s="149" t="str">
        <x:v>Similarity report and adjudication log.</x:v>
      </x:c>
      <x:c r="Z91" s="150" t="str">
        <x:v>Final-stage task</x:v>
      </x:c>
    </x:row>
    <x:row r="92" ht="150" customHeight="1">
      <x:c r="A92" s="37" t="str">
        <x:v>S7-09</x:v>
      </x:c>
      <x:c r="B92" s="39" t="str">
        <x:v>7. Response &amp; Submission</x:v>
      </x:c>
      <x:c r="C92" s="35" t="str">
        <x:v>P1 Major</x:v>
      </x:c>
      <x:c r="D92" s="35" t="str">
        <x:v>Editor</x:v>
      </x:c>
      <x:c r="E92" s="35" t="str">
        <x:v>Metadata</x:v>
      </x:c>
      <x:c r="F92" s="35" t="str">
        <x:v>Verify portal metadata against the manuscript</x:v>
      </x:c>
      <x:c r="G92" s="35" t="str">
        <x:v>Title, abstract, authors, ORCID, keywords and affiliations must be identical across files and portal.</x:v>
      </x:c>
      <x:c r="H92" s="35" t="str">
        <x:v>• Compare every field.
• Verify corresponding-author email and ORCID.
• Confirm no accidental author-order change.</x:v>
      </x:c>
      <x:c r="I92" s="35" t="str">
        <x:v>Portal and manuscript metadata match exactly.</x:v>
      </x:c>
      <x:c r="J92" s="35" t="str">
        <x:v>Metadata checklist</x:v>
      </x:c>
      <x:c r="K92" s="35" t="str">
        <x:v>S7-04; S7-07</x:v>
      </x:c>
      <x:c r="L92" s="35" t="str">
        <x:v>Aditya</x:v>
      </x:c>
      <x:c r="M92" s="35" t="str">
        <x:v>Week 7</x:v>
      </x:c>
      <x:c r="N92" s="35" t="str">
        <x:v>Not Started</x:v>
      </x:c>
      <x:c r="O92" s="41" t="n">
        <x:v>0</x:v>
      </x:c>
      <x:c r="P92" s="35" t="str">
        <x:v>No</x:v>
      </x:c>
      <x:c r="Q92" s="35" t="str">
        <x:v>No</x:v>
      </x:c>
      <x:c r="R92" s="35" t="str">
        <x:v>Portal</x:v>
      </x:c>
      <x:c r="S92" s="35" t="str">
        <x:v>Editor</x:v>
      </x:c>
      <x:c r="T92" s="35" t="str">
        <x:v>Resolution package added 2026-07-18; see columns U:Z. Keep task open until the stated evidence/acceptance test is satisfied.</x:v>
      </x:c>
      <x:c r="U92" s="145" t="str">
        <x:v>Make portal metadata identical to the final manuscript: title, abstract, author order, affiliations, ORCIDs, keywords and corresponding email.</x:v>
      </x:c>
      <x:c r="V92" s="146" t="str">
        <x:v>The new scope/title makes stale portal text especially likely and can cause indexing or authorship problems.</x:v>
      </x:c>
      <x:c r="W92" s="146" t="str">
        <x:v>Use a field-by-field comparison and obtain author approval for any change in author information.</x:v>
      </x:c>
      <x:c r="X92" s="146" t="str">
        <x:v>We reconciled all portal metadata with the final approved manuscript.</x:v>
      </x:c>
      <x:c r="Y92" s="146" t="str">
        <x:v>Signed metadata checklist.</x:v>
      </x:c>
      <x:c r="Z92" s="147" t="str">
        <x:v>Upload-stage task</x:v>
      </x:c>
    </x:row>
    <x:row r="93" ht="150" customHeight="1">
      <x:c r="A93" s="37" t="str">
        <x:v>S7-10</x:v>
      </x:c>
      <x:c r="B93" s="39" t="str">
        <x:v>7. Response &amp; Submission</x:v>
      </x:c>
      <x:c r="C93" s="35" t="str">
        <x:v>P0 Critical</x:v>
      </x:c>
      <x:c r="D93" s="35" t="str">
        <x:v>Editor</x:v>
      </x:c>
      <x:c r="E93" s="35" t="str">
        <x:v>Submission backup</x:v>
      </x:c>
      <x:c r="F93" s="35" t="str">
        <x:v>Create a final immutable submission archive before upload</x:v>
      </x:c>
      <x:c r="G93" s="35" t="str">
        <x:v>A one-shot resubmission needs an exact backup of what was submitted.</x:v>
      </x:c>
      <x:c r="H93" s="35" t="str">
        <x:v>• Zip all source files, PDFs, supplement, response and checklist.
• Include checksums and a contents manifest.
• Save the portal confirmation after submission.</x:v>
      </x:c>
      <x:c r="I93" s="35" t="str">
        <x:v>The exact submission can be reconstructed from the archive.</x:v>
      </x:c>
      <x:c r="J93" s="35" t="str">
        <x:v>Timestamped archive + manifest</x:v>
      </x:c>
      <x:c r="K93" s="35" t="str">
        <x:v>S7-02:S7-09</x:v>
      </x:c>
      <x:c r="L93" s="35" t="str">
        <x:v>Aditya</x:v>
      </x:c>
      <x:c r="M93" s="35" t="str">
        <x:v>Week 7</x:v>
      </x:c>
      <x:c r="N93" s="35" t="str">
        <x:v>Not Started</x:v>
      </x:c>
      <x:c r="O93" s="41" t="n">
        <x:v>0</x:v>
      </x:c>
      <x:c r="P93" s="35" t="str">
        <x:v>Yes</x:v>
      </x:c>
      <x:c r="Q93" s="35" t="str">
        <x:v>No</x:v>
      </x:c>
      <x:c r="R93" s="35" t="str">
        <x:v>Archive</x:v>
      </x:c>
      <x:c r="S93" s="35" t="str">
        <x:v>Editor</x:v>
      </x:c>
      <x:c r="T93" s="35" t="str">
        <x:v>Resolution package added 2026-07-18; see columns U:Z. Keep task open until the stated evidence/acceptance test is satisfied.</x:v>
      </x:c>
      <x:c r="U93" s="148" t="str">
        <x:v>Create an immutable pre-upload archive containing source, clean/highlighted PDFs, response, supplement, evidence manifest and checksums.</x:v>
      </x:c>
      <x:c r="V93" s="149" t="str">
        <x:v>A one-shot resubmission needs an exact record of what was uploaded and how it relates to the reported results.</x:v>
      </x:c>
      <x:c r="W93" s="149" t="str">
        <x:v>Use timestamped ZIP plus SHA-256 manifest; add portal receipt after submission.</x:v>
      </x:c>
      <x:c r="X93" s="149" t="str">
        <x:v>We archived the exact submission package and verification manifest before upload.</x:v>
      </x:c>
      <x:c r="Y93" s="149" t="str">
        <x:v>Archive checksum and portal confirmation.</x:v>
      </x:c>
      <x:c r="Z93" s="150" t="str">
        <x:v>Upload-stage task</x:v>
      </x:c>
    </x:row>
    <x:row r="94" ht="150" customHeight="1">
      <x:c r="A94" s="37" t="str">
        <x:v>S7-11</x:v>
      </x:c>
      <x:c r="B94" s="39" t="str">
        <x:v>7. Response &amp; Submission</x:v>
      </x:c>
      <x:c r="C94" s="35" t="str">
        <x:v>P1 Major</x:v>
      </x:c>
      <x:c r="D94" s="35" t="str">
        <x:v>Editor</x:v>
      </x:c>
      <x:c r="E94" s="35" t="str">
        <x:v>Final portal review</x:v>
      </x:c>
      <x:c r="F94" s="35" t="str">
        <x:v>Perform a two-person portal review before clicking submit</x:v>
      </x:c>
      <x:c r="G94" s="35" t="str">
        <x:v>Wrong file categories or stale uploads can invalidate otherwise correct work.</x:v>
      </x:c>
      <x:c r="H94" s="35" t="str">
        <x:v>• Open every uploaded file from the portal preview.
• Check file type/category and version.
• Have the guide or coauthor verify before final submission.</x:v>
      </x:c>
      <x:c r="I94" s="35" t="str">
        <x:v>Two people confirm the portal package is correct before submission.</x:v>
      </x:c>
      <x:c r="J94" s="35" t="str">
        <x:v>Final portal sign-off</x:v>
      </x:c>
      <x:c r="K94" s="35" t="str">
        <x:v>S7-10</x:v>
      </x:c>
      <x:c r="L94" s="35" t="str">
        <x:v>Aditya + Guide</x:v>
      </x:c>
      <x:c r="M94" s="35" t="str">
        <x:v>Week 7</x:v>
      </x:c>
      <x:c r="N94" s="35" t="str">
        <x:v>Not Started</x:v>
      </x:c>
      <x:c r="O94" s="41" t="n">
        <x:v>0</x:v>
      </x:c>
      <x:c r="P94" s="35" t="str">
        <x:v>Yes</x:v>
      </x:c>
      <x:c r="Q94" s="35" t="str">
        <x:v>No</x:v>
      </x:c>
      <x:c r="R94" s="35" t="str">
        <x:v>Portal</x:v>
      </x:c>
      <x:c r="S94" s="35" t="str">
        <x:v>Editor</x:v>
      </x:c>
      <x:c r="T94" s="35" t="str">
        <x:v>Resolution package added 2026-07-18; see columns U:Z. Keep task open until the stated evidence/acceptance test is satisfied.</x:v>
      </x:c>
      <x:c r="U94" s="151" t="str">
        <x:v>Perform a two-person review of files downloaded/rendered from the portal before final submission.</x:v>
      </x:c>
      <x:c r="V94" s="152" t="str">
        <x:v>Wrong category, stale file or conversion damage can defeat otherwise correct local QA.</x:v>
      </x:c>
      <x:c r="W94" s="152" t="str">
        <x:v>Open every portal preview, check version/category/page count and compare file hashes where available; require guide confirmation.</x:v>
      </x:c>
      <x:c r="X94" s="152" t="str">
        <x:v>Two authors independently verified the final portal previews and file assignments before submission.</x:v>
      </x:c>
      <x:c r="Y94" s="152" t="str">
        <x:v>Two-person portal sign-off.</x:v>
      </x:c>
      <x:c r="Z94" s="153" t="str">
        <x:v>Final submit gate</x:v>
      </x:c>
    </x:row>
  </x:sheetData>
  <x:mergeCells>
    <x:mergeCell ref="A1:Z1"/>
    <x:mergeCell ref="A2:Z2"/>
  </x:mergeCells>
  <x:conditionalFormatting sqref="O5:O94">
    <x:cfRule type="dataBar" priority="1">
      <x:dataBar>
        <x:cfvo type="min"/>
        <x:cfvo type="max"/>
        <x:color rgb="FF0F766E"/>
      </x:dataBar>
      <x:extLst>
        <x:ext xmlns:x14="http://schemas.microsoft.com/office/spreadsheetml/2009/9/main" uri="{B025F937-C7B1-47D3-B67F-A62EFF666E3E}">
          <x14:id>{F4323263-E4CD-5843-3BBF-DB10F5969ADB}</x14:id>
        </x:ext>
      </x:extLst>
    </x:cfRule>
  </x:conditionalFormatting>
  <x:conditionalFormatting sqref="N5:N94">
    <x:cfRule type="expression" dxfId="0" priority="2">
      <x:formula>N5="Done"</x:formula>
    </x:cfRule>
    <x:cfRule type="expression" dxfId="1" priority="3">
      <x:formula>N5="In Progress"</x:formula>
    </x:cfRule>
    <x:cfRule type="expression" dxfId="2" priority="4">
      <x:formula>N5="Blocked"</x:formula>
    </x:cfRule>
    <x:cfRule type="expression" dxfId="3" priority="5">
      <x:formula>N5="Ready for Review"</x:formula>
    </x:cfRule>
  </x:conditionalFormatting>
  <x:conditionalFormatting sqref="C5:C94">
    <x:cfRule type="expression" dxfId="4" priority="6">
      <x:formula>C5="P0 Critical"</x:formula>
    </x:cfRule>
    <x:cfRule type="expression" dxfId="5" priority="7">
      <x:formula>C5="P1 Major"</x:formula>
    </x:cfRule>
  </x:conditionalFormatting>
  <x:conditionalFormatting sqref="P5:P94">
    <x:cfRule type="expression" dxfId="6" priority="8">
      <x:formula>P5="Yes"</x:formula>
    </x:cfRule>
  </x:conditionalFormatting>
  <x:conditionalFormatting sqref="Q5:Q94">
    <x:cfRule type="expression" dxfId="7" priority="9">
      <x:formula>Q5="Yes"</x:formula>
    </x:cfRule>
  </x:conditionalFormatting>
  <x:dataValidations count="5">
    <x:dataValidation type="list" sqref="C5:C94">
      <x:formula1>"P0 Critical,P1 Major,P2 Supporting,P3 Polish"</x:formula1>
    </x:dataValidation>
    <x:dataValidation type="list" sqref="N5:N94">
      <x:formula1>"Not Started,In Progress,Blocked,Ready for Review,Done"</x:formula1>
    </x:dataValidation>
    <x:dataValidation type="decimal" operator="between" sqref="O5:O94">
      <x:formula1>0</x:formula1>
      <x:formula2>1</x:formula2>
    </x:dataValidation>
    <x:dataValidation type="list" sqref="P5:Q94">
      <x:formula1>"Yes,No"</x:formula1>
    </x:dataValidation>
    <x:dataValidation type="list" sqref="M5:M94">
      <x:formula1>"Week 1,Week 2,Week 3,Week 4,Week 5,Week 6,Week 7,Week 1–2,Week 2–3,Week 3–4,Week 4–5,Week 5–6,Week 6–7,Week 1–6"</x:formula1>
    </x:dataValidation>
  </x:dataValidations>
  <x:pageMargins left="0.7" right="0.7" top="0.75" bottom="0.75" header="0.3" footer="0.3"/>
  <x:legacyDrawing xmlns:r="http://schemas.openxmlformats.org/officeDocument/2006/relationships" r:id="R76386c2cde5d49f0"/>
  <x:tableParts count="1">
    <x:tablePart xmlns:r="http://schemas.openxmlformats.org/officeDocument/2006/relationships" r:id="Rc96aca0b53094cc3"/>
  </x:tableParts>
  <x:extLst>
    <x:ext xmlns:x14="http://schemas.microsoft.com/office/spreadsheetml/2009/9/main" xmlns:xm="http://schemas.microsoft.com/office/excel/2006/main" uri="{78C0D931-6437-407d-A8EE-F0AAD7539E65}">
      <x14:conditionalFormattings>
        <x14:conditionalFormatting>
          <x14:cfRule type="dataBar" priority="1" id="{F4323263-E4CD-5843-3BBF-DB10F5969ADB}">
            <x14:dataBar gradient="1">
              <x14:cfvo type="min"/>
              <x14:cfvo type="max"/>
              <x14:fillColor rgb="FF0F766E"/>
            </x14:dataBar>
          </x14:cfRule>
          <xm:sqref>O5:O94</xm:sqref>
        </x14:conditionalFormatting>
      </x14:conditionalFormattings>
    </x:ext>
  </x:extLst>
</x:worksheet>
</file>

<file path=xl/worksheets/sheet3.xml><?xml version="1.0" encoding="utf-8"?>
<x:worksheet xmlns:x="http://schemas.openxmlformats.org/spreadsheetml/2006/main">
  <x:sheetFormatPr defaultRowHeight="15"/>
  <x:cols>
    <x:col min="1" max="1" width="32"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s>
  <x:sheetData>
    <x:row r="1" ht="38" customHeight="1">
      <x:c r="A1" s="45" t="str">
        <x:v>D-MSTCN Resubmission Control Room</x:v>
      </x:c>
      <x:c r="B1" s="45"/>
      <x:c r="C1" s="45"/>
      <x:c r="D1" s="45"/>
      <x:c r="E1" s="45"/>
      <x:c r="F1" s="45"/>
      <x:c r="G1" s="45"/>
      <x:c r="H1" s="45"/>
    </x:row>
    <x:row r="2">
      <x:c r="A2" s="51" t="str">
        <x:v>One resubmission slot. The dashboard is formula-driven from the Master Tracker.</x:v>
      </x:c>
      <x:c r="B2" s="51"/>
      <x:c r="C2" s="51"/>
      <x:c r="D2" s="51"/>
      <x:c r="E2" s="51"/>
      <x:c r="F2" s="51"/>
      <x:c r="G2" s="51"/>
      <x:c r="H2" s="51"/>
    </x:row>
    <x:row r="4">
      <x:c r="A4" s="55" t="str">
        <x:v>Total Tasks</x:v>
      </x:c>
      <x:c r="B4" s="59" t="n">
        <x:f>COUNTA('Master Tracker'!A5:A94)</x:f>
        <x:v>90</x:v>
      </x:c>
      <x:c r="C4" s="55" t="str">
        <x:v>Done</x:v>
      </x:c>
      <x:c r="D4" s="59" t="n">
        <x:f>COUNTIF('Master Tracker'!N5:N94,"Done")</x:f>
        <x:v>0</x:v>
      </x:c>
      <x:c r="E4" s="55" t="str">
        <x:v>In Progress</x:v>
      </x:c>
      <x:c r="F4" s="59" t="n">
        <x:f>COUNTIF('Master Tracker'!N5:N94,"In Progress")</x:f>
        <x:v>0</x:v>
      </x:c>
      <x:c r="G4" s="55" t="str">
        <x:v>Blocked</x:v>
      </x:c>
      <x:c r="H4" s="59" t="n">
        <x:f>COUNTIF('Master Tracker'!N5:N94,"Blocked")</x:f>
        <x:v>0</x:v>
      </x:c>
    </x:row>
    <x:row r="7">
      <x:c r="A7" s="55" t="str">
        <x:v>Overall Completion</x:v>
      </x:c>
      <x:c r="B7" s="63" t="n">
        <x:f>IFERROR(AVERAGE('Master Tracker'!O5:O94),0)</x:f>
        <x:v>0</x:v>
      </x:c>
      <x:c r="C7" s="55" t="str">
        <x:v>Open P0 Tasks</x:v>
      </x:c>
      <x:c r="D7" s="59" t="n">
        <x:f>COUNTIFS('Master Tracker'!C5:C94,"P0 Critical",'Master Tracker'!N5:N94,"&lt;&gt;Done")</x:f>
        <x:v>41</x:v>
      </x:c>
      <x:c r="E7" s="55" t="str">
        <x:v>Open Decisions</x:v>
      </x:c>
      <x:c r="F7" s="59" t="n">
        <x:f>COUNTIFS('Master Tracker'!Q5:Q94,"Yes",'Master Tracker'!N5:N94,"&lt;&gt;Done")</x:f>
        <x:v>8</x:v>
      </x:c>
      <x:c r="G7" s="55" t="str">
        <x:v>Ready for Review</x:v>
      </x:c>
      <x:c r="H7" s="59" t="n">
        <x:f>COUNTIF('Master Tracker'!N5:N94,"Ready for Review")</x:f>
        <x:v>0</x:v>
      </x:c>
    </x:row>
    <x:row r="10">
      <x:c r="A10" s="67" t="str">
        <x:v>Readiness Gate</x:v>
      </x:c>
      <x:c r="B10" s="67"/>
      <x:c r="C10" s="67"/>
      <x:c r="D10" s="67"/>
      <x:c r="E10" s="67"/>
      <x:c r="F10" s="67"/>
      <x:c r="G10" s="67"/>
      <x:c r="H10" s="67"/>
    </x:row>
    <x:row r="11">
      <x:c r="A11" s="73" t="str">
        <x:f>IF(D7&gt;0,"BLOCKED: CLOSE ALL P0 TASKS",IF(F7&gt;0,"STRUCTURAL DECISIONS OPEN",IF(B7&lt;1,"REVISION IN PROGRESS","READY TO PACKAGE")))</x:f>
        <x:v>BLOCKED: CLOSE ALL P0 TASKS</x:v>
      </x:c>
      <x:c r="B11" s="73"/>
      <x:c r="C11" s="73"/>
      <x:c r="D11" s="73"/>
      <x:c r="E11" s="73"/>
      <x:c r="F11" s="73"/>
      <x:c r="G11" s="73"/>
      <x:c r="H11" s="73"/>
    </x:row>
    <x:row r="12">
      <x:c r="A12" s="73"/>
      <x:c r="B12" s="73"/>
      <x:c r="C12" s="73"/>
      <x:c r="D12" s="73"/>
      <x:c r="E12" s="73"/>
      <x:c r="F12" s="73"/>
      <x:c r="G12" s="73"/>
      <x:c r="H12" s="73"/>
    </x:row>
    <x:row r="15">
      <x:c r="A15" s="77" t="str">
        <x:v>Phase</x:v>
      </x:c>
      <x:c r="B15" s="77" t="str">
        <x:v>Total</x:v>
      </x:c>
      <x:c r="C15" s="77" t="str">
        <x:v>Done</x:v>
      </x:c>
      <x:c r="D15" s="77" t="str">
        <x:v>Completion</x:v>
      </x:c>
      <x:c r="F15" s="83" t="str">
        <x:v>Recommended Revision Route</x:v>
      </x:c>
      <x:c r="G15" s="83"/>
      <x:c r="H15" s="83"/>
    </x:row>
    <x:row r="16">
      <x:c r="A16" s="6" t="str">
        <x:v>0. Integrity &amp; Ground Truth</x:v>
      </x:c>
      <x:c r="B16" s="6" t="n">
        <x:f>COUNTIF('Master Tracker'!B5:B94,A16)</x:f>
        <x:v>10</x:v>
      </x:c>
      <x:c r="C16" s="6" t="n">
        <x:f>COUNTIFS('Master Tracker'!B5:B94,A16,'Master Tracker'!N5:N94,"Done")</x:f>
        <x:v>0</x:v>
      </x:c>
      <x:c r="D16" s="79" t="n">
        <x:f>IFERROR(C16/B16,0)</x:f>
        <x:v>0</x:v>
      </x:c>
      <x:c r="F16" s="90" t="str">
        <x:v>1. Conservative resubmission route: reframe to single-server branch-parallel multi-GPU execution.
2. Remove Theorem 1 and the convergence guarantee; retain only a tested version-lag invariant.
3. Remove the broad claim that standard DDP inherently violates temporal causality; restore only a bounded conditional claim after controlled evidence.
4. Use subject-independent splits, official DAIC-WOZ partition/label handling, causal imputation and unseen-subject evaluation.
5. Remove/replace current references [25], [32] and [37]; verify [1] against ACM.
6. Do not mark any result task Done until raw logs, seeds, configs and statistical outputs satisfy its acceptance test.</x:v>
      </x:c>
      <x:c r="G16" s="90"/>
      <x:c r="H16" s="90"/>
    </x:row>
    <x:row r="17">
      <x:c r="A17" s="6" t="str">
        <x:v>1. Scope &amp; Core-Claim Decisions</x:v>
      </x:c>
      <x:c r="B17" s="6" t="n">
        <x:f>COUNTIF('Master Tracker'!B5:B94,A17)</x:f>
        <x:v>8</x:v>
      </x:c>
      <x:c r="C17" s="6" t="n">
        <x:f>COUNTIFS('Master Tracker'!B5:B94,A17,'Master Tracker'!N5:N94,"Done")</x:f>
        <x:v>0</x:v>
      </x:c>
      <x:c r="D17" s="79" t="n">
        <x:f>IFERROR(C17/B17,0)</x:f>
        <x:v>0</x:v>
      </x:c>
      <x:c r="F17" s="90"/>
      <x:c r="G17" s="90"/>
      <x:c r="H17" s="90"/>
    </x:row>
    <x:row r="18">
      <x:c r="A18" s="6" t="str">
        <x:v>2. Theory &amp; Algorithm</x:v>
      </x:c>
      <x:c r="B18" s="6" t="n">
        <x:f>COUNTIF('Master Tracker'!B5:B94,A18)</x:f>
        <x:v>12</x:v>
      </x:c>
      <x:c r="C18" s="6" t="n">
        <x:f>COUNTIFS('Master Tracker'!B5:B94,A18,'Master Tracker'!N5:N94,"Done")</x:f>
        <x:v>0</x:v>
      </x:c>
      <x:c r="D18" s="79" t="n">
        <x:f>IFERROR(C18/B18,0)</x:f>
        <x:v>0</x:v>
      </x:c>
      <x:c r="F18" s="90"/>
      <x:c r="G18" s="90"/>
      <x:c r="H18" s="90"/>
    </x:row>
    <x:row r="19">
      <x:c r="A19" s="6" t="str">
        <x:v>3. Data &amp; Evaluation Integrity</x:v>
      </x:c>
      <x:c r="B19" s="6" t="n">
        <x:f>COUNTIF('Master Tracker'!B5:B94,A19)</x:f>
        <x:v>10</x:v>
      </x:c>
      <x:c r="C19" s="6" t="n">
        <x:f>COUNTIFS('Master Tracker'!B5:B94,A19,'Master Tracker'!N5:N94,"Done")</x:f>
        <x:v>0</x:v>
      </x:c>
      <x:c r="D19" s="79" t="n">
        <x:f>IFERROR(C19/B19,0)</x:f>
        <x:v>0</x:v>
      </x:c>
      <x:c r="F19" s="90"/>
      <x:c r="G19" s="90"/>
      <x:c r="H19" s="90"/>
    </x:row>
    <x:row r="20">
      <x:c r="A20" s="6" t="str">
        <x:v>4. Experiments &amp; Benchmarking</x:v>
      </x:c>
      <x:c r="B20" s="6" t="n">
        <x:f>COUNTIF('Master Tracker'!B5:B94,A20)</x:f>
        <x:v>18</x:v>
      </x:c>
      <x:c r="C20" s="6" t="n">
        <x:f>COUNTIFS('Master Tracker'!B5:B94,A20,'Master Tracker'!N5:N94,"Done")</x:f>
        <x:v>0</x:v>
      </x:c>
      <x:c r="D20" s="79" t="n">
        <x:f>IFERROR(C20/B20,0)</x:f>
        <x:v>0</x:v>
      </x:c>
      <x:c r="F20" s="90"/>
      <x:c r="G20" s="90"/>
      <x:c r="H20" s="90"/>
    </x:row>
    <x:row r="21">
      <x:c r="A21" s="6" t="str">
        <x:v>5. Writing &amp; Positioning</x:v>
      </x:c>
      <x:c r="B21" s="6" t="n">
        <x:f>COUNTIF('Master Tracker'!B5:B94,A21)</x:f>
        <x:v>13</x:v>
      </x:c>
      <x:c r="C21" s="6" t="n">
        <x:f>COUNTIFS('Master Tracker'!B5:B94,A21,'Master Tracker'!N5:N94,"Done")</x:f>
        <x:v>0</x:v>
      </x:c>
      <x:c r="D21" s="79" t="n">
        <x:f>IFERROR(C21/B21,0)</x:f>
        <x:v>0</x:v>
      </x:c>
      <x:c r="F21" s="90"/>
      <x:c r="G21" s="90"/>
      <x:c r="H21" s="90"/>
    </x:row>
    <x:row r="22">
      <x:c r="A22" s="6" t="str">
        <x:v>6. Presentation &amp; Formatting</x:v>
      </x:c>
      <x:c r="B22" s="6" t="n">
        <x:f>COUNTIF('Master Tracker'!B5:B94,A22)</x:f>
        <x:v>8</x:v>
      </x:c>
      <x:c r="C22" s="6" t="n">
        <x:f>COUNTIFS('Master Tracker'!B5:B94,A22,'Master Tracker'!N5:N94,"Done")</x:f>
        <x:v>0</x:v>
      </x:c>
      <x:c r="D22" s="79" t="n">
        <x:f>IFERROR(C22/B22,0)</x:f>
        <x:v>0</x:v>
      </x:c>
      <x:c r="F22" s="90"/>
      <x:c r="G22" s="90"/>
      <x:c r="H22" s="90"/>
    </x:row>
    <x:row r="23">
      <x:c r="A23" s="6" t="str">
        <x:v>7. Response &amp; Submission</x:v>
      </x:c>
      <x:c r="B23" s="6" t="n">
        <x:f>COUNTIF('Master Tracker'!B5:B94,A23)</x:f>
        <x:v>11</x:v>
      </x:c>
      <x:c r="C23" s="6" t="n">
        <x:f>COUNTIFS('Master Tracker'!B5:B94,A23,'Master Tracker'!N5:N94,"Done")</x:f>
        <x:v>0</x:v>
      </x:c>
      <x:c r="D23" s="79" t="n">
        <x:f>IFERROR(C23/B23,0)</x:f>
        <x:v>0</x:v>
      </x:c>
      <x:c r="F23" s="90"/>
      <x:c r="G23" s="90"/>
      <x:c r="H23" s="90"/>
    </x:row>
  </x:sheetData>
  <x:mergeCells>
    <x:mergeCell ref="A1:H1"/>
    <x:mergeCell ref="A2:H2"/>
    <x:mergeCell ref="A10:H10"/>
    <x:mergeCell ref="A11:H12"/>
    <x:mergeCell ref="F15:H15"/>
    <x:mergeCell ref="F16:H23"/>
  </x:mergeCells>
  <x:conditionalFormatting sqref="A11:H12">
    <x:cfRule type="expression" dxfId="8" priority="1">
      <x:formula>$A$11="READY TO PACKAGE"</x:formula>
    </x:cfRule>
    <x:cfRule type="expression" dxfId="9" priority="2">
      <x:formula>LEFT($A$11,7)="BLOCKED"</x:formula>
    </x:cfRule>
  </x:conditionalFormatting>
  <x:conditionalFormatting sqref="D16:D23">
    <x:cfRule type="dataBar" priority="3">
      <x:dataBar>
        <x:cfvo type="min"/>
        <x:cfvo type="max"/>
        <x:color rgb="FF0F766E"/>
      </x:dataBar>
      <x:extLst>
        <x:ext xmlns:x14="http://schemas.microsoft.com/office/spreadsheetml/2009/9/main" uri="{B025F937-C7B1-47D3-B67F-A62EFF666E3E}">
          <x14:id>{169BE573-5479-287D-BE93-74B15E11EBFA}</x14:id>
        </x:ext>
      </x:extLst>
    </x:cfRule>
  </x:conditionalFormatting>
  <x:pageMargins left="0.7" right="0.7" top="0.75" bottom="0.75" header="0.3" footer="0.3"/>
  <x:drawing xmlns:r="http://schemas.openxmlformats.org/officeDocument/2006/relationships" r:id="R1fd43241e53f4130"/>
  <x:extLst>
    <x:ext xmlns:x14="http://schemas.microsoft.com/office/spreadsheetml/2009/9/main" xmlns:xm="http://schemas.microsoft.com/office/excel/2006/main" uri="{78C0D931-6437-407d-A8EE-F0AAD7539E65}">
      <x14:conditionalFormattings>
        <x14:conditionalFormatting>
          <x14:cfRule type="dataBar" priority="3" id="{169BE573-5479-287D-BE93-74B15E11EBFA}">
            <x14:dataBar gradient="1">
              <x14:cfvo type="min"/>
              <x14:cfvo type="max"/>
              <x14:fillColor rgb="FF0F766E"/>
            </x14:dataBar>
          </x14:cfRule>
          <xm:sqref>D16:D23</xm:sqref>
        </x14:conditionalFormatting>
      </x14:conditionalFormattings>
    </x:ext>
  </x:extLst>
</x:worksheet>
</file>

<file path=xl/worksheets/sheet4.xml><?xml version="1.0" encoding="utf-8"?>
<x:worksheet xmlns:x="http://schemas.openxmlformats.org/spreadsheetml/2006/main">
  <x:sheetFormatPr defaultRowHeight="15"/>
  <x:cols>
    <x:col min="1" max="1" width="12" hidden="0" customWidth="1"/>
    <x:col min="2" max="2" width="25" hidden="0" customWidth="1"/>
    <x:col min="3" max="3" width="34" hidden="0" customWidth="1"/>
    <x:col min="4" max="4" width="45" hidden="0" customWidth="1"/>
    <x:col min="5" max="5" width="46" hidden="0" customWidth="1"/>
    <x:col min="6" max="6" width="55" hidden="0" customWidth="1"/>
    <x:col min="7" max="7" width="22" hidden="0" customWidth="1"/>
    <x:col min="8" max="8" width="14" hidden="0" customWidth="1"/>
    <x:col min="9" max="9" width="28" hidden="0" customWidth="1"/>
  </x:cols>
  <x:sheetData>
    <x:row r="1" ht="30" customHeight="1">
      <x:c r="A1" s="95" t="str">
        <x:v>Decision ID</x:v>
      </x:c>
      <x:c r="B1" s="95" t="str">
        <x:v>Decision</x:v>
      </x:c>
      <x:c r="C1" s="95" t="str">
        <x:v>Options</x:v>
      </x:c>
      <x:c r="D1" s="95" t="str">
        <x:v>Recommendation</x:v>
      </x:c>
      <x:c r="E1" s="95" t="str">
        <x:v>Final Decision</x:v>
      </x:c>
      <x:c r="F1" s="95" t="str">
        <x:v>Rationale</x:v>
      </x:c>
      <x:c r="G1" s="95" t="str">
        <x:v>Approver</x:v>
      </x:c>
      <x:c r="H1" s="95" t="str">
        <x:v>Decision Date</x:v>
      </x:c>
      <x:c r="I1" s="95" t="str">
        <x:v>Status</x:v>
      </x:c>
    </x:row>
    <x:row r="2" ht="70" customHeight="1">
      <x:c r="A2" s="33" t="str">
        <x:v>DEC-01</x:v>
      </x:c>
      <x:c r="B2" s="33" t="str">
        <x:v>Systems scope</x:v>
      </x:c>
      <x:c r="C2" s="33" t="str">
        <x:v>A: true multi-node; B: single-server multi-GPU reframe</x:v>
      </x:c>
      <x:c r="D2" s="33" t="str">
        <x:v>Use A if access is realistic within the revision window; otherwise choose B and remove physical-cluster claims.</x:v>
      </x:c>
      <x:c r="E2" s="35" t="str">
        <x:v>Option B - single-server branch-parallel multi-GPU scope</x:v>
      </x:c>
      <x:c r="F2" s="35" t="str">
        <x:v>The submitted evidence uses one eight-GPU NVLink server and traffic shaping; it cannot validate physical multi-host behavior.</x:v>
      </x:c>
      <x:c r="G2" s="33" t="str">
        <x:v>Guide</x:v>
      </x:c>
      <x:c r="H2" s="97"/>
      <x:c r="I2" s="33" t="str">
        <x:v>Proposed - approval pending</x:v>
      </x:c>
    </x:row>
    <x:row r="3" ht="70" customHeight="1">
      <x:c r="A3" s="33" t="str">
        <x:v>DEC-02</x:v>
      </x:c>
      <x:c r="B3" s="33" t="str">
        <x:v>Theorem status</x:v>
      </x:c>
      <x:c r="C3" s="33" t="str">
        <x:v>A: complete bounded-bias proof; B: operational proposition; C: remove</x:v>
      </x:c>
      <x:c r="D3" s="33" t="str">
        <x:v>Do not retain the current theorem. Choose A only after independent mathematical sign-off.</x:v>
      </x:c>
      <x:c r="E3" s="35" t="str">
        <x:v>Remove Theorem 1; retain only a version-lag operational invariant</x:v>
      </x:c>
      <x:c r="F3" s="35" t="str">
        <x:v>The proof does not establish convergence for biased masked/HOLD updates, and the cited asynchronous-SGD result is not directly applicable.</x:v>
      </x:c>
      <x:c r="G3" s="33" t="str">
        <x:v>Guide + Math reviewer</x:v>
      </x:c>
      <x:c r="H3" s="97"/>
      <x:c r="I3" s="33" t="str">
        <x:v>Proposed - approval pending</x:v>
      </x:c>
    </x:row>
    <x:row r="4" ht="70" customHeight="1">
      <x:c r="A4" s="33" t="str">
        <x:v>DEC-03</x:v>
      </x:c>
      <x:c r="B4" s="33" t="str">
        <x:v>DDP causality claim</x:v>
      </x:c>
      <x:c r="C4" s="33" t="str">
        <x:v>A: retain broad claim; B: narrow to defined conditions; C: remove</x:v>
      </x:c>
      <x:c r="D4" s="33" t="str">
        <x:v>Choose B only if controlled experiments isolate the mechanism; otherwise choose C.</x:v>
      </x:c>
      <x:c r="E4" s="35" t="str">
        <x:v>Remove the broad DDP causality claim; retain only a controlled, conditional hypothesis</x:v>
      </x:c>
      <x:c r="F4" s="35" t="str">
        <x:v>Gradient aggregation across causal examples is not inherently a causality violation; optimization/sampling confounders must be isolated.</x:v>
      </x:c>
      <x:c r="G4" s="33" t="str">
        <x:v>Guide</x:v>
      </x:c>
      <x:c r="H4" s="97"/>
      <x:c r="I4" s="33" t="str">
        <x:v>Proposed - approval pending</x:v>
      </x:c>
    </x:row>
    <x:row r="5" ht="70" customHeight="1">
      <x:c r="A5" s="33" t="str">
        <x:v>DEC-04</x:v>
      </x:c>
      <x:c r="B5" s="33" t="str">
        <x:v>Population-scale language</x:v>
      </x:c>
      <x:c r="C5" s="33" t="str">
        <x:v>A: retain with synthetic scale tests; B: remove/soften</x:v>
      </x:c>
      <x:c r="D5" s="33" t="str">
        <x:v>Use B unless synthetic/real workload evidence is added and clearly separated from predictive validity.</x:v>
      </x:c>
      <x:c r="E5" s="35" t="str">
        <x:v>Remove population-scale validation language</x:v>
      </x:c>
      <x:c r="F5" s="35" t="str">
        <x:v>The available datasets do not test thousands of participants; synthetic scale cannot establish predictive validity.</x:v>
      </x:c>
      <x:c r="G5" s="33" t="str">
        <x:v>Guide</x:v>
      </x:c>
      <x:c r="H5" s="97"/>
      <x:c r="I5" s="33" t="str">
        <x:v>Proposed - approval pending</x:v>
      </x:c>
    </x:row>
    <x:row r="6" ht="70" customHeight="1">
      <x:c r="A6" s="33" t="str">
        <x:v>DEC-05</x:v>
      </x:c>
      <x:c r="B6" s="33" t="str">
        <x:v>DAIC-WOZ split</x:v>
      </x:c>
      <x:c r="C6" s="33" t="str">
        <x:v>A: standard split; B: justified alternative</x:v>
      </x:c>
      <x:c r="D6" s="33" t="str">
        <x:v>Prefer a standard reproducible split; rerun if the current split cannot be defended.</x:v>
      </x:c>
      <x:c r="E6" s="35" t="str">
        <x:v>Use official DAIC-WOZ partition/label protocol; no unexplained 107/82 split</x:v>
      </x:c>
      <x:c r="F6" s="35" t="str">
        <x:v>The 107/82 formulation merges official development/test counts without reproducible label provenance.</x:v>
      </x:c>
      <x:c r="G6" s="33" t="str">
        <x:v>Guide</x:v>
      </x:c>
      <x:c r="H6" s="97"/>
      <x:c r="I6" s="33" t="str">
        <x:v>Proposed - approval pending</x:v>
      </x:c>
    </x:row>
    <x:row r="7" ht="70" customHeight="1">
      <x:c r="A7" s="33" t="str">
        <x:v>DEC-06</x:v>
      </x:c>
      <x:c r="B7" s="33" t="str">
        <x:v>Personalization evaluation</x:v>
      </x:c>
      <x:c r="C7" s="33" t="str">
        <x:v>A: within-subject only; B: seen + unseen subject protocols</x:v>
      </x:c>
      <x:c r="D7" s="33" t="str">
        <x:v>Use B and report both settings separately.</x:v>
      </x:c>
      <x:c r="E7" s="35" t="str">
        <x:v>Report seen-subject and unseen-subject protocols separately</x:v>
      </x:c>
      <x:c r="F7" s="35" t="str">
        <x:v>Identity embeddings can leak known-subject information and do not address cold start.</x:v>
      </x:c>
      <x:c r="G7" s="33" t="str">
        <x:v>Guide</x:v>
      </x:c>
      <x:c r="H7" s="97"/>
      <x:c r="I7" s="33" t="str">
        <x:v>Proposed - approval pending</x:v>
      </x:c>
    </x:row>
    <x:row r="8" ht="70" customHeight="1">
      <x:c r="A8" s="33" t="str">
        <x:v>DEC-07</x:v>
      </x:c>
      <x:c r="B8" s="33" t="str">
        <x:v>Final title</x:v>
      </x:c>
      <x:c r="C8" s="33" t="str">
        <x:v>Scope-dependent title options</x:v>
      </x:c>
      <x:c r="D8" s="33" t="str">
        <x:v>Choose only after DEC-01 through DEC-06 are closed.</x:v>
      </x:c>
      <x:c r="E8" s="35" t="str">
        <x:v>A Multi-Scale Temporal Convolutional Network for Cognitive State Modeling with Branch-Parallel Multi-GPU Execution</x:v>
      </x:c>
      <x:c r="F8" s="35" t="str">
        <x:v>This title matches the architecture and evaluated single-server hardware without overstating physical distribution or scalability.</x:v>
      </x:c>
      <x:c r="G8" s="33" t="str">
        <x:v>Guide</x:v>
      </x:c>
      <x:c r="H8" s="97"/>
      <x:c r="I8" s="33" t="str">
        <x:v>Proposed - approval pending</x:v>
      </x:c>
    </x:row>
  </x:sheetData>
  <x:dataValidations count="1">
    <x:dataValidation type="list" sqref="I2:I8">
      <x:formula1>"Open,Discussing,Approved,Revisit"</x:formula1>
    </x:dataValidation>
  </x:dataValidations>
  <x:pageMargins left="0.7" right="0.7" top="0.75" bottom="0.75" header="0.3" footer="0.3"/>
  <x:tableParts count="1">
    <x:tablePart xmlns:r="http://schemas.openxmlformats.org/officeDocument/2006/relationships" r:id="Ra200625618944bb2"/>
  </x:tableParts>
</x:worksheet>
</file>

<file path=xl/worksheets/sheet5.xml><?xml version="1.0" encoding="utf-8"?>
<x:worksheet xmlns:x="http://schemas.openxmlformats.org/spreadsheetml/2006/main">
  <x:sheetFormatPr defaultRowHeight="15"/>
  <x:cols>
    <x:col min="1" max="1" width="11" hidden="0" customWidth="1"/>
    <x:col min="2" max="2" width="24" hidden="0" customWidth="1"/>
    <x:col min="3" max="3" width="43" hidden="0" customWidth="1"/>
    <x:col min="4" max="4" width="43" hidden="0" customWidth="1"/>
    <x:col min="5" max="5" width="25" hidden="0" customWidth="1"/>
    <x:col min="6" max="6" width="28" hidden="0" customWidth="1"/>
    <x:col min="7" max="7" width="16" hidden="0" customWidth="1"/>
    <x:col min="8" max="8" width="60" hidden="0" customWidth="1"/>
  </x:cols>
  <x:sheetData>
    <x:row r="1" ht="30" customHeight="1">
      <x:c r="A1" s="95" t="str">
        <x:v>Reviewer</x:v>
      </x:c>
      <x:c r="B1" s="95" t="str">
        <x:v>Overall Position</x:v>
      </x:c>
      <x:c r="C1" s="95" t="str">
        <x:v>Key Concerns</x:v>
      </x:c>
      <x:c r="D1" s="95" t="str">
        <x:v>Required Resolution</x:v>
      </x:c>
      <x:c r="E1" s="95" t="str">
        <x:v>Primary Task IDs</x:v>
      </x:c>
      <x:c r="F1" s="95" t="str">
        <x:v>Response Stance</x:v>
      </x:c>
      <x:c r="G1" s="95" t="str">
        <x:v>Status</x:v>
      </x:c>
      <x:c r="H1" s="95" t="str">
        <x:v>Notes</x:v>
      </x:c>
    </x:row>
    <x:row r="2" ht="64" customHeight="1">
      <x:c r="A2" s="33" t="str">
        <x:v>R1</x:v>
      </x:c>
      <x:c r="B2" s="33" t="str">
        <x:v>Positive contribution; major theory concerns</x:v>
      </x:c>
      <x:c r="C2" s="33" t="str">
        <x:v>Masked-gradient convergence; η notation; alleged 58.7 mismatch; figure clarity</x:v>
      </x:c>
      <x:c r="D2" s="33" t="str">
        <x:v>Fix/reframe theory; clarify table value with provenance; improve rendering</x:v>
      </x:c>
      <x:c r="E2" s="33" t="str">
        <x:v>G0-07, D1-04, T2-01, T2-09, T2-10, F6-03</x:v>
      </x:c>
      <x:c r="F2" s="33" t="str">
        <x:v>Partly accept; respectfully rebut factual misread</x:v>
      </x:c>
      <x:c r="G2" s="33" t="str">
        <x:v>In Progress</x:v>
      </x:c>
      <x:c r="H2" s="33" t="str">
        <x:v>Resolution drafted: remove unsupported theorem; correct notation; rebut the 68.7 misread with provenance and improve rendering.</x:v>
      </x:c>
    </x:row>
    <x:row r="3" ht="64" customHeight="1">
      <x:c r="A3" s="33" t="str">
        <x:v>R2</x:v>
      </x:c>
      <x:c r="B3" s="33" t="str">
        <x:v>Major revision</x:v>
      </x:c>
      <x:c r="C3" s="33" t="str">
        <x:v>Real multi-node evidence; small datasets; theorem; neuroscience; RF; adapter params; algorithm; N&gt;3 replication; statistics</x:v>
      </x:c>
      <x:c r="D3" s="33" t="str">
        <x:v>Structural decision plus technical rebuild and experiments</x:v>
      </x:c>
      <x:c r="E3" s="33" t="str">
        <x:v>D1-01:D1-04, T2-02:T2-10, E4-03:E4-17</x:v>
      </x:c>
      <x:c r="F3" s="33" t="str">
        <x:v>Accept most; rebut only with evidence</x:v>
      </x:c>
      <x:c r="G3" s="33" t="str">
        <x:v>In Progress</x:v>
      </x:c>
      <x:c r="H3" s="33" t="str">
        <x:v>Resolution drafted: single-server scope, corrected receptive field/adapter accounting/algorithm semantics, official splits and expanded experiments.</x:v>
      </x:c>
    </x:row>
    <x:row r="4" ht="64" customHeight="1">
      <x:c r="A4" s="33" t="str">
        <x:v>R3</x:v>
      </x:c>
      <x:c r="B4" s="33" t="str">
        <x:v>Major revision</x:v>
      </x:c>
      <x:c r="C4" s="33" t="str">
        <x:v>Novelty; scaling; theory; complexity; reproducibility; ablations; statistics; personalization; deployment; strong claims</x:v>
      </x:c>
      <x:c r="D4" s="33" t="str">
        <x:v>Strengthen evidence, cost analysis, positioning and reproducibility</x:v>
      </x:c>
      <x:c r="E4" s="33" t="str">
        <x:v>D1-05:D1-07, E4-07:E4-18, W5-01:W5-09</x:v>
      </x:c>
      <x:c r="F4" s="33" t="str">
        <x:v>Accept and address comprehensively</x:v>
      </x:c>
      <x:c r="G4" s="33" t="str">
        <x:v>In Progress</x:v>
      </x:c>
      <x:c r="H4" s="33" t="str">
        <x:v>Resolution drafted: narrowed novelty/claims, corrected complexity and reproducibility/statistical/ablation/cold-start plan.</x:v>
      </x:c>
    </x:row>
    <x:row r="5" ht="64" customHeight="1">
      <x:c r="A5" s="33" t="str">
        <x:v>R4</x:v>
      </x:c>
      <x:c r="B5" s="33" t="str">
        <x:v>Positive / minor</x:v>
      </x:c>
      <x:c r="C5" s="33" t="str">
        <x:v>Test-subject embedding; intuitive bounded staleness; formatting and biography</x:v>
      </x:c>
      <x:c r="D5" s="33" t="str">
        <x:v>Clarify personalization and clean presentation</x:v>
      </x:c>
      <x:c r="E5" s="33" t="str">
        <x:v>V3-03, E4-12, W5-07, F6-02, F6-05</x:v>
      </x:c>
      <x:c r="F5" s="33" t="str">
        <x:v>Accept</x:v>
      </x:c>
      <x:c r="G5" s="33" t="str">
        <x:v>In Progress</x:v>
      </x:c>
      <x:c r="H5" s="33" t="str">
        <x:v>Resolution drafted: unseen-subject handling, intuitive version-lag explanation, table/biography cleanup; biography needs guide details.</x:v>
      </x:c>
    </x:row>
    <x:row r="6" ht="64" customHeight="1">
      <x:c r="A6" s="33" t="str">
        <x:v>R5</x:v>
      </x:c>
      <x:c r="B6" s="33" t="str">
        <x:v>Positive; suggested citations</x:v>
      </x:c>
      <x:c r="C6" s="33" t="str">
        <x:v>Three optional citations</x:v>
      </x:c>
      <x:c r="D6" s="33" t="str">
        <x:v>Evaluate relevance individually; cite only if claim-matched</x:v>
      </x:c>
      <x:c r="E6" s="33" t="str">
        <x:v>W5-12</x:v>
      </x:c>
      <x:c r="F6" s="33" t="str">
        <x:v>Selective acceptance</x:v>
      </x:c>
      <x:c r="G6" s="33" t="str">
        <x:v>In Progress</x:v>
      </x:c>
      <x:c r="H6" s="33" t="str">
        <x:v>Selective-citation policy resolved; the three citation details are absent from the supplied materials and must be copied from the original review.</x:v>
      </x:c>
    </x:row>
    <x:row r="7" ht="64" customHeight="1">
      <x:c r="A7" s="33" t="str">
        <x:v>R6</x:v>
      </x:c>
      <x:c r="B7" s="33" t="str">
        <x:v>Architecture positive; distributed evidence partial</x:v>
      </x:c>
      <x:c r="C7" s="33" t="str">
        <x:v>Real multi-node evidence; small data; DAIC split; timing variance</x:v>
      </x:c>
      <x:c r="D7" s="33" t="str">
        <x:v>Clarify split and add repeated realistic systems tests</x:v>
      </x:c>
      <x:c r="E7" s="33" t="str">
        <x:v>D1-01, V3-02, E4-03, E4-06</x:v>
      </x:c>
      <x:c r="F7" s="33" t="str">
        <x:v>Accept</x:v>
      </x:c>
      <x:c r="G7" s="33" t="str">
        <x:v>In Progress</x:v>
      </x:c>
      <x:c r="H7" s="33" t="str">
        <x:v>Resolution drafted: physical multi-node claims withdrawn, DAIC protocol corrected and timing uncertainty required.</x:v>
      </x:c>
    </x:row>
    <x:row r="8" ht="64" customHeight="1">
      <x:c r="A8" s="33" t="str">
        <x:v>R7</x:v>
      </x:c>
      <x:c r="B8" s="33" t="str">
        <x:v>Reject due to reference integrity</x:v>
      </x:c>
      <x:c r="C8" s="33" t="str">
        <x:v>Flagged [25], [32], [37] and [1]</x:v>
      </x:c>
      <x:c r="D8" s="33" t="str">
        <x:v>Full authoritative reference audit and calm evidence-based response</x:v>
      </x:c>
      <x:c r="E8" s="33" t="str">
        <x:v>G0-01:G0-05</x:v>
      </x:c>
      <x:c r="F8" s="33" t="str">
        <x:v>Accept audit concern; rebut only verified over-flags</x:v>
      </x:c>
      <x:c r="G8" s="33" t="str">
        <x:v>In Progress</x:v>
      </x:c>
      <x:c r="H8" s="33" t="str">
        <x:v>Reference audit populated; current [25], [32] and [37] are removed/replaced, while [1] is verified against ACM.</x:v>
      </x:c>
    </x:row>
    <x:row r="9" ht="64" customHeight="1">
      <x:c r="A9" s="33" t="str">
        <x:v>R8</x:v>
      </x:c>
      <x:c r="B9" s="33" t="str">
        <x:v>Strongly positive</x:v>
      </x:c>
      <x:c r="C9" s="33" t="str">
        <x:v>Future adaptive scales and scaling beyond eight nodes</x:v>
      </x:c>
      <x:c r="D9" s="33" t="str">
        <x:v>Acknowledge and connect to future work without overstating current proof</x:v>
      </x:c>
      <x:c r="E9" s="33" t="str">
        <x:v>E4-08, W5-06, W5-09</x:v>
      </x:c>
      <x:c r="F9" s="33" t="str">
        <x:v>Thank and incorporate where appropriate</x:v>
      </x:c>
      <x:c r="G9" s="33" t="str">
        <x:v>In Progress</x:v>
      </x:c>
      <x:c r="H9" s="33" t="str">
        <x:v>Future work retained only as future work; no unsupported beyond-eight-GPU claim remains.</x:v>
      </x:c>
    </x:row>
    <x:row r="10" ht="64" customHeight="1">
      <x:c r="A10" s="33" t="str">
        <x:v>Editor</x:v>
      </x:c>
      <x:c r="B10" s="33" t="str">
        <x:v>Reject-and-resubmit; one resubmission</x:v>
      </x:c>
      <x:c r="C10" s="33" t="str">
        <x:v>All concerns must be addressed; response, highlighted PDF and clean source/PDF required</x:v>
      </x:c>
      <x:c r="D10" s="33" t="str">
        <x:v>Complete full package and one-shot QA</x:v>
      </x:c>
      <x:c r="E10" s="33" t="str">
        <x:v>S7-01:S7-11</x:v>
      </x:c>
      <x:c r="F10" s="33" t="str">
        <x:v>Comply fully</x:v>
      </x:c>
      <x:c r="G10" s="33" t="str">
        <x:v>In Progress</x:v>
      </x:c>
      <x:c r="H10" s="33" t="str">
        <x:v>Full response/clean/highlighted/source/checklist/archive workflow defined; empirical and author-approval gates remain open.</x:v>
      </x:c>
    </x:row>
  </x:sheetData>
  <x:dataValidations count="1">
    <x:dataValidation type="list" sqref="G2:G10">
      <x:formula1>"Not Started,In Progress,Ready for Review,Done"</x:formula1>
    </x:dataValidation>
  </x:dataValidations>
  <x:pageMargins left="0.7" right="0.7" top="0.75" bottom="0.75" header="0.3" footer="0.3"/>
  <x:tableParts count="1">
    <x:tablePart xmlns:r="http://schemas.openxmlformats.org/officeDocument/2006/relationships" r:id="R19aeea126cf941a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8" hidden="0" customWidth="1"/>
    <x:col min="2" max="2" width="52" hidden="0" customWidth="1"/>
    <x:col min="3" max="3" width="48" hidden="0" customWidth="1"/>
    <x:col min="4" max="4" width="27" hidden="0" customWidth="1"/>
    <x:col min="5" max="5" width="24" hidden="0" customWidth="1"/>
    <x:col min="6" max="6" width="24" hidden="0" customWidth="1"/>
    <x:col min="7" max="7" width="24" hidden="0" customWidth="1"/>
    <x:col min="8" max="8" width="24" hidden="0" customWidth="1"/>
    <x:col min="9" max="9" width="58" hidden="0" customWidth="1"/>
    <x:col min="10" max="10" width="48" hidden="0" customWidth="1"/>
  </x:cols>
  <x:sheetData>
    <x:row r="1" ht="30" customHeight="1">
      <x:c r="A1" s="95" t="str">
        <x:v>Ref #</x:v>
      </x:c>
      <x:c r="B1" s="95" t="str">
        <x:v>Current Short Title</x:v>
      </x:c>
      <x:c r="C1" s="95" t="str">
        <x:v>Official Record URL</x:v>
      </x:c>
      <x:c r="D1" s="95" t="str">
        <x:v>DOI / Identifier</x:v>
      </x:c>
      <x:c r="E1" s="95" t="str">
        <x:v>Verified?</x:v>
      </x:c>
      <x:c r="F1" s="95" t="str">
        <x:v>Exact Metadata Correct?</x:v>
      </x:c>
      <x:c r="G1" s="95" t="str">
        <x:v>Claim Supported?</x:v>
      </x:c>
      <x:c r="H1" s="95" t="str">
        <x:v>Action</x:v>
      </x:c>
      <x:c r="I1" s="95" t="str">
        <x:v>Replacement Ref</x:v>
      </x:c>
      <x:c r="J1" s="95" t="str">
        <x:v>Auditor Notes</x:v>
      </x:c>
    </x:row>
    <x:row r="2" ht="72" customHeight="1">
      <x:c r="A2" s="33" t="n">
        <x:v>1</x:v>
      </x:c>
      <x:c r="B2" s="33" t="str">
        <x:v>StudentLife: Assessing mental health, academic performance and behavioral trends of college students using smartphones</x:v>
      </x:c>
      <x:c r="C2" s="35" t="str">
        <x:v>https://dl.acm.org/doi/10.1145/2632048.2632054</x:v>
      </x:c>
      <x:c r="D2" s="35" t="str">
        <x:v>10.1145/2632048.2632054</x:v>
      </x:c>
      <x:c r="E2" s="35" t="str">
        <x:v>Verified</x:v>
      </x:c>
      <x:c r="F2" s="35" t="str">
        <x:v>Use ACM export/full authors</x:v>
      </x:c>
      <x:c r="G2" s="35" t="str">
        <x:v>Yes - dataset identity/scope</x:v>
      </x:c>
      <x:c r="H2" s="35" t="str">
        <x:v>Retain and correct full metadata</x:v>
      </x:c>
      <x:c r="I2" s="35" t="str"/>
      <x:c r="J2" s="35" t="str">
        <x:v>Official ACM record; reviewer authorship concern resolved.</x:v>
      </x:c>
    </x:row>
    <x:row r="3" ht="72" customHeight="1">
      <x:c r="A3" s="33" t="n">
        <x:v>2</x:v>
      </x:c>
      <x:c r="B3" s="33" t="str">
        <x:v>The Distress Analysis Interview Corpus of human and computer interviews</x:v>
      </x:c>
      <x:c r="C3" s="35" t="str">
        <x:v>https://aclanthology.org/L14-1422/</x:v>
      </x:c>
      <x:c r="D3" s="35" t="str">
        <x:v>LREC 2014; L14-1422</x:v>
      </x:c>
      <x:c r="E3" s="35" t="str">
        <x:v>Verified</x:v>
      </x:c>
      <x:c r="F3" s="35" t="str">
        <x:v>Check full authors from ACL/LREC record</x:v>
      </x:c>
      <x:c r="G3" s="35" t="str">
        <x:v>Yes - DAIC corpus</x:v>
      </x:c>
      <x:c r="H3" s="35" t="str">
        <x:v>Retain</x:v>
      </x:c>
      <x:c r="I3" s="35" t="str"/>
      <x:c r="J3" s="35" t="str">
        <x:v>Official LREC/ACL record.</x:v>
      </x:c>
    </x:row>
    <x:row r="4" ht="72" customHeight="1">
      <x:c r="A4" s="33" t="n">
        <x:v>3</x:v>
      </x:c>
      <x:c r="B4" s="33" t="str">
        <x:v>Long short-term memory</x:v>
      </x:c>
      <x:c r="C4" s="35" t="str">
        <x:v>https://doi.org/10.1162/neco.1997.9.8.1735</x:v>
      </x:c>
      <x:c r="D4" s="35" t="str">
        <x:v>10.1162/neco.1997.9.8.1735</x:v>
      </x:c>
      <x:c r="E4" s="35" t="str">
        <x:v>Verified</x:v>
      </x:c>
      <x:c r="F4" s="35" t="str">
        <x:v>Yes</x:v>
      </x:c>
      <x:c r="G4" s="35" t="str">
        <x:v>Yes - LSTM</x:v>
      </x:c>
      <x:c r="H4" s="35" t="str">
        <x:v>Retain</x:v>
      </x:c>
      <x:c r="I4" s="35" t="str"/>
      <x:c r="J4" s="35" t="str">
        <x:v>Canonical journal record.</x:v>
      </x:c>
    </x:row>
    <x:row r="5" ht="72" customHeight="1">
      <x:c r="A5" s="33" t="n">
        <x:v>4</x:v>
      </x:c>
      <x:c r="B5" s="33" t="str">
        <x:v>An empirical evaluation of generic convolutional and recurrent networks for sequence modeling</x:v>
      </x:c>
      <x:c r="C5" s="35" t="str">
        <x:v>https://arxiv.org/abs/1803.01271</x:v>
      </x:c>
      <x:c r="D5" s="35" t="str">
        <x:v>arXiv:1803.01271</x:v>
      </x:c>
      <x:c r="E5" s="35" t="str">
        <x:v>Verified</x:v>
      </x:c>
      <x:c r="F5" s="35" t="str">
        <x:v>Yes</x:v>
      </x:c>
      <x:c r="G5" s="35" t="str">
        <x:v>Yes - TCN</x:v>
      </x:c>
      <x:c r="H5" s="35" t="str">
        <x:v>Retain</x:v>
      </x:c>
      <x:c r="I5" s="35" t="str"/>
      <x:c r="J5" s="35" t="str">
        <x:v>Use arXiv record; avoid implying formal journal publication.</x:v>
      </x:c>
    </x:row>
    <x:row r="6" ht="72" customHeight="1">
      <x:c r="A6" s="33" t="n">
        <x:v>5</x:v>
      </x:c>
      <x:c r="B6" s="33" t="str">
        <x:v>Autoformer: Decomposition transformers with auto-correlation for long-term series forecasting</x:v>
      </x:c>
      <x:c r="C6" s="35" t="str">
        <x:v>https://proceedings.neurips.cc/paper/2021/hash/bcc0d400288793e8bdcd7c19a8ac0c2b-Abstract.html</x:v>
      </x:c>
      <x:c r="D6" s="35" t="str">
        <x:v>NeurIPS 2021</x:v>
      </x:c>
      <x:c r="E6" s="35" t="str">
        <x:v>Verified</x:v>
      </x:c>
      <x:c r="F6" s="35" t="str">
        <x:v>Yes</x:v>
      </x:c>
      <x:c r="G6" s="35" t="str">
        <x:v>Yes - Autoformer</x:v>
      </x:c>
      <x:c r="H6" s="35" t="str">
        <x:v>Retain</x:v>
      </x:c>
      <x:c r="I6" s="35" t="str"/>
      <x:c r="J6" s="35" t="str">
        <x:v>Official proceedings.</x:v>
      </x:c>
    </x:row>
    <x:row r="7" ht="72" customHeight="1">
      <x:c r="A7" s="33" t="n">
        <x:v>6</x:v>
      </x:c>
      <x:c r="B7" s="33" t="str">
        <x:v>Informer: Beyond efficient transformer for long sequence time-series forecasting</x:v>
      </x:c>
      <x:c r="C7" s="35" t="str">
        <x:v>https://ojs.aaai.org/index.php/AAAI/article/view/17325</x:v>
      </x:c>
      <x:c r="D7" s="35" t="str">
        <x:v>10.1609/aaai.v35i12.17325</x:v>
      </x:c>
      <x:c r="E7" s="35" t="str">
        <x:v>Verified</x:v>
      </x:c>
      <x:c r="F7" s="35" t="str">
        <x:v>Yes</x:v>
      </x:c>
      <x:c r="G7" s="35" t="str">
        <x:v>Yes - Informer</x:v>
      </x:c>
      <x:c r="H7" s="35" t="str">
        <x:v>Retain</x:v>
      </x:c>
      <x:c r="I7" s="35" t="str"/>
      <x:c r="J7" s="35" t="str">
        <x:v>Official AAAI record.</x:v>
      </x:c>
    </x:row>
    <x:row r="8" ht="72" customHeight="1">
      <x:c r="A8" s="33" t="n">
        <x:v>7</x:v>
      </x:c>
      <x:c r="B8" s="33" t="str">
        <x:v>PyTorch distributed: Experiences on accelerating data parallel training</x:v>
      </x:c>
      <x:c r="C8" s="35" t="str">
        <x:v>https://www.vldb.org/pvldb/vol13/p3005-li.pdf</x:v>
      </x:c>
      <x:c r="D8" s="35" t="str">
        <x:v>10.14778/3415478.3415530</x:v>
      </x:c>
      <x:c r="E8" s="35" t="str">
        <x:v>Verified</x:v>
      </x:c>
      <x:c r="F8" s="35" t="str">
        <x:v>Yes</x:v>
      </x:c>
      <x:c r="G8" s="35" t="str">
        <x:v>Partial - DDP implementation, not temporal-causality claim</x:v>
      </x:c>
      <x:c r="H8" s="35" t="str">
        <x:v>Retain with narrowed claim</x:v>
      </x:c>
      <x:c r="I8" s="35" t="str"/>
      <x:c r="J8" s="35" t="str">
        <x:v>Do not cite as evidence that DDP violates causality.</x:v>
      </x:c>
    </x:row>
    <x:row r="9" ht="72" customHeight="1">
      <x:c r="A9" s="33" t="n">
        <x:v>8</x:v>
      </x:c>
      <x:c r="B9" s="33" t="str">
        <x:v>TimesNet: Temporal 2D-variation modeling for general time series analysis</x:v>
      </x:c>
      <x:c r="C9" s="35" t="str">
        <x:v>https://openreview.net/forum?id=ju_Uqw384Oq</x:v>
      </x:c>
      <x:c r="D9" s="35" t="str">
        <x:v>ICLR 2023 OpenReview</x:v>
      </x:c>
      <x:c r="E9" s="35" t="str">
        <x:v>Verified</x:v>
      </x:c>
      <x:c r="F9" s="35" t="str">
        <x:v>Yes</x:v>
      </x:c>
      <x:c r="G9" s="35" t="str">
        <x:v>Yes - TimesNet</x:v>
      </x:c>
      <x:c r="H9" s="35" t="str">
        <x:v>Retain</x:v>
      </x:c>
      <x:c r="I9" s="35" t="str"/>
      <x:c r="J9" s="35" t="str">
        <x:v>Official ICLR record.</x:v>
      </x:c>
    </x:row>
    <x:row r="10" ht="72" customHeight="1">
      <x:c r="A10" s="33" t="n">
        <x:v>9</x:v>
      </x:c>
      <x:c r="B10" s="33" t="str">
        <x:v>Communication-efficient learning of deep networks from decentralized data</x:v>
      </x:c>
      <x:c r="C10" s="35" t="str">
        <x:v>https://proceedings.mlr.press/v54/mcmahan17a.html</x:v>
      </x:c>
      <x:c r="D10" s="35" t="str">
        <x:v>PMLR 54</x:v>
      </x:c>
      <x:c r="E10" s="35" t="str">
        <x:v>Verified</x:v>
      </x:c>
      <x:c r="F10" s="35" t="str">
        <x:v>Yes</x:v>
      </x:c>
      <x:c r="G10" s="35" t="str">
        <x:v>Yes - FedAvg</x:v>
      </x:c>
      <x:c r="H10" s="35" t="str">
        <x:v>Retain</x:v>
      </x:c>
      <x:c r="I10" s="35" t="str"/>
      <x:c r="J10" s="35" t="str">
        <x:v>Official PMLR record.</x:v>
      </x:c>
    </x:row>
    <x:row r="11" ht="72" customHeight="1">
      <x:c r="A11" s="33" t="n">
        <x:v>10</x:v>
      </x:c>
      <x:c r="B11" s="33" t="str">
        <x:v>PipeDream: Generalized pipeline parallelism for DNN training</x:v>
      </x:c>
      <x:c r="C11" s="35" t="str">
        <x:v>https://dl.acm.org/doi/10.1145/3341301.3359646</x:v>
      </x:c>
      <x:c r="D11" s="35" t="str">
        <x:v>10.1145/3341301.3359646</x:v>
      </x:c>
      <x:c r="E11" s="35" t="str">
        <x:v>Verified</x:v>
      </x:c>
      <x:c r="F11" s="35" t="str">
        <x:v>Correct DOI if missing</x:v>
      </x:c>
      <x:c r="G11" s="35" t="str">
        <x:v>Yes - pipeline parallelism</x:v>
      </x:c>
      <x:c r="H11" s="35" t="str">
        <x:v>Retain</x:v>
      </x:c>
      <x:c r="I11" s="35" t="str"/>
      <x:c r="J11" s="35" t="str">
        <x:v>Official ACM record.</x:v>
      </x:c>
    </x:row>
    <x:row r="12" ht="72" customHeight="1">
      <x:c r="A12" s="33" t="n">
        <x:v>11</x:v>
      </x:c>
      <x:c r="B12" s="33" t="str">
        <x:v>GPipe: Efficient training of giant neural networks using pipeline parallelism</x:v>
      </x:c>
      <x:c r="C12" s="35" t="str">
        <x:v>https://proceedings.neurips.cc/paper/2019/hash/093f65e080a295f8076b1c5722a46aa2-Abstract.html</x:v>
      </x:c>
      <x:c r="D12" s="35" t="str">
        <x:v>NeurIPS 2019</x:v>
      </x:c>
      <x:c r="E12" s="35" t="str">
        <x:v>Verified</x:v>
      </x:c>
      <x:c r="F12" s="35" t="str">
        <x:v>Yes</x:v>
      </x:c>
      <x:c r="G12" s="35" t="str">
        <x:v>Yes - GPipe</x:v>
      </x:c>
      <x:c r="H12" s="35" t="str">
        <x:v>Retain</x:v>
      </x:c>
      <x:c r="I12" s="35" t="str"/>
      <x:c r="J12" s="35" t="str">
        <x:v>Official proceedings.</x:v>
      </x:c>
    </x:row>
    <x:row r="13" ht="72" customHeight="1">
      <x:c r="A13" s="33" t="n">
        <x:v>12</x:v>
      </x:c>
      <x:c r="B13" s="33" t="str">
        <x:v>FiLM: Visual reasoning with a general conditioning layer</x:v>
      </x:c>
      <x:c r="C13" s="35" t="str">
        <x:v>https://ojs.aaai.org/index.php/AAAI/article/view/11671</x:v>
      </x:c>
      <x:c r="D13" s="35" t="str">
        <x:v>10.1609/aaai.v32i1.11671</x:v>
      </x:c>
      <x:c r="E13" s="35" t="str">
        <x:v>Verified</x:v>
      </x:c>
      <x:c r="F13" s="35" t="str">
        <x:v>Yes</x:v>
      </x:c>
      <x:c r="G13" s="35" t="str">
        <x:v>Yes - FiLM</x:v>
      </x:c>
      <x:c r="H13" s="35" t="str">
        <x:v>Retain</x:v>
      </x:c>
      <x:c r="I13" s="35" t="str"/>
      <x:c r="J13" s="35" t="str">
        <x:v>Official AAAI record.</x:v>
      </x:c>
    </x:row>
    <x:row r="14" ht="72" customHeight="1">
      <x:c r="A14" s="33" t="n">
        <x:v>13</x:v>
      </x:c>
      <x:c r="B14" s="33" t="str">
        <x:v>Differential entropy feature for EEG-based emotion classification</x:v>
      </x:c>
      <x:c r="C14" s="35" t="str">
        <x:v>https://doi.org/10.1109/NER.2013.6695876</x:v>
      </x:c>
      <x:c r="D14" s="35" t="str">
        <x:v>10.1109/NER.2013.6695876</x:v>
      </x:c>
      <x:c r="E14" s="35" t="str">
        <x:v>Verified</x:v>
      </x:c>
      <x:c r="F14" s="35" t="str">
        <x:v>Yes</x:v>
      </x:c>
      <x:c r="G14" s="35" t="str">
        <x:v>Yes - SEED feature method</x:v>
      </x:c>
      <x:c r="H14" s="35" t="str">
        <x:v>Retain</x:v>
      </x:c>
      <x:c r="I14" s="35" t="str"/>
      <x:c r="J14" s="35" t="str">
        <x:v>Official DOI.</x:v>
      </x:c>
    </x:row>
    <x:row r="15" ht="72" customHeight="1">
      <x:c r="A15" s="33" t="n">
        <x:v>14</x:v>
      </x:c>
      <x:c r="B15" s="33" t="str">
        <x:v>Learning phrase representations using RNN encoder-decoder for statistical machine translation</x:v>
      </x:c>
      <x:c r="C15" s="35" t="str">
        <x:v>https://aclanthology.org/D14-1179/</x:v>
      </x:c>
      <x:c r="D15" s="35" t="str">
        <x:v>10.3115/v1/D14-1179</x:v>
      </x:c>
      <x:c r="E15" s="35" t="str">
        <x:v>Verified</x:v>
      </x:c>
      <x:c r="F15" s="35" t="str">
        <x:v>Yes</x:v>
      </x:c>
      <x:c r="G15" s="35" t="str">
        <x:v>Yes - GRU</x:v>
      </x:c>
      <x:c r="H15" s="35" t="str">
        <x:v>Retain</x:v>
      </x:c>
      <x:c r="I15" s="35" t="str"/>
      <x:c r="J15" s="35" t="str">
        <x:v>Official ACL Anthology.</x:v>
      </x:c>
    </x:row>
    <x:row r="16" ht="72" customHeight="1">
      <x:c r="A16" s="33" t="n">
        <x:v>15</x:v>
      </x:c>
      <x:c r="B16" s="33" t="str">
        <x:v>Attention is all you need</x:v>
      </x:c>
      <x:c r="C16" s="35" t="str">
        <x:v>https://proceedings.neurips.cc/paper/7181-attention-is-all-you-need</x:v>
      </x:c>
      <x:c r="D16" s="35" t="str">
        <x:v>NeurIPS 2017</x:v>
      </x:c>
      <x:c r="E16" s="35" t="str">
        <x:v>Verified</x:v>
      </x:c>
      <x:c r="F16" s="35" t="str">
        <x:v>Yes</x:v>
      </x:c>
      <x:c r="G16" s="35" t="str">
        <x:v>Yes - Transformer</x:v>
      </x:c>
      <x:c r="H16" s="35" t="str">
        <x:v>Retain</x:v>
      </x:c>
      <x:c r="I16" s="35" t="str"/>
      <x:c r="J16" s="35" t="str">
        <x:v>Official proceedings.</x:v>
      </x:c>
    </x:row>
    <x:row r="17" ht="72" customHeight="1">
      <x:c r="A17" s="33" t="n">
        <x:v>16</x:v>
      </x:c>
      <x:c r="B17" s="33" t="str">
        <x:v>A time series is worth 64 words: Long-term forecasting with transformers</x:v>
      </x:c>
      <x:c r="C17" s="35" t="str">
        <x:v>https://openreview.net/forum?id=Jbdc0vTOcol</x:v>
      </x:c>
      <x:c r="D17" s="35" t="str">
        <x:v>ICLR 2023 OpenReview</x:v>
      </x:c>
      <x:c r="E17" s="35" t="str">
        <x:v>Verified</x:v>
      </x:c>
      <x:c r="F17" s="35" t="str">
        <x:v>Yes</x:v>
      </x:c>
      <x:c r="G17" s="35" t="str">
        <x:v>Yes - PatchTST</x:v>
      </x:c>
      <x:c r="H17" s="35" t="str">
        <x:v>Retain</x:v>
      </x:c>
      <x:c r="I17" s="35" t="str"/>
      <x:c r="J17" s="35" t="str">
        <x:v>Official ICLR record.</x:v>
      </x:c>
    </x:row>
    <x:row r="18" ht="72" customHeight="1">
      <x:c r="A18" s="33" t="n">
        <x:v>17</x:v>
      </x:c>
      <x:c r="B18" s="33" t="str">
        <x:v>iTransformer: Inverted transformers are effective for time series forecasting</x:v>
      </x:c>
      <x:c r="C18" s="35" t="str">
        <x:v>https://openreview.net/forum?id=JePfAI8fah</x:v>
      </x:c>
      <x:c r="D18" s="35" t="str">
        <x:v>ICLR 2024 OpenReview</x:v>
      </x:c>
      <x:c r="E18" s="35" t="str">
        <x:v>Verified</x:v>
      </x:c>
      <x:c r="F18" s="35" t="str">
        <x:v>Yes</x:v>
      </x:c>
      <x:c r="G18" s="35" t="str">
        <x:v>Yes - iTransformer</x:v>
      </x:c>
      <x:c r="H18" s="35" t="str">
        <x:v>Retain</x:v>
      </x:c>
      <x:c r="I18" s="35" t="str"/>
      <x:c r="J18" s="35" t="str">
        <x:v>Official ICLR record.</x:v>
      </x:c>
    </x:row>
    <x:row r="19" ht="72" customHeight="1">
      <x:c r="A19" s="33" t="n">
        <x:v>18</x:v>
      </x:c>
      <x:c r="B19" s="33" t="str">
        <x:v>Modeling long- and short-term temporal patterns with deep neural networks</x:v>
      </x:c>
      <x:c r="C19" s="35" t="str">
        <x:v>https://dl.acm.org/doi/10.1145/3209978.3210006</x:v>
      </x:c>
      <x:c r="D19" s="35" t="str">
        <x:v>10.1145/3209978.3210006</x:v>
      </x:c>
      <x:c r="E19" s="35" t="str">
        <x:v>Verified</x:v>
      </x:c>
      <x:c r="F19" s="35" t="str">
        <x:v>Yes</x:v>
      </x:c>
      <x:c r="G19" s="35" t="str">
        <x:v>Yes - LSTNet</x:v>
      </x:c>
      <x:c r="H19" s="35" t="str">
        <x:v>Retain</x:v>
      </x:c>
      <x:c r="I19" s="35" t="str"/>
      <x:c r="J19" s="35" t="str">
        <x:v>Official ACM record.</x:v>
      </x:c>
    </x:row>
    <x:row r="20" ht="72" customHeight="1">
      <x:c r="A20" s="33" t="n">
        <x:v>19</x:v>
      </x:c>
      <x:c r="B20" s="33" t="str">
        <x:v>MICN: Multi-scale local and global context modeling for long-term series forecasting</x:v>
      </x:c>
      <x:c r="C20" s="35" t="str">
        <x:v>https://openreview.net/forum?id=zt53IDUR1U</x:v>
      </x:c>
      <x:c r="D20" s="35" t="str">
        <x:v>ICLR 2023 OpenReview</x:v>
      </x:c>
      <x:c r="E20" s="35" t="str">
        <x:v>Verified</x:v>
      </x:c>
      <x:c r="F20" s="35" t="str">
        <x:v>Yes</x:v>
      </x:c>
      <x:c r="G20" s="35" t="str">
        <x:v>Yes - MICN</x:v>
      </x:c>
      <x:c r="H20" s="35" t="str">
        <x:v>Retain</x:v>
      </x:c>
      <x:c r="I20" s="35" t="str"/>
      <x:c r="J20" s="35" t="str">
        <x:v>Official ICLR record.</x:v>
      </x:c>
    </x:row>
    <x:row r="21" ht="72" customHeight="1">
      <x:c r="A21" s="33" t="n">
        <x:v>20</x:v>
      </x:c>
      <x:c r="B21" s="33" t="str">
        <x:v>SCINet: Time series modeling and forecasting with sample convolution and interaction</x:v>
      </x:c>
      <x:c r="C21" s="35" t="str">
        <x:v>https://proceedings.neurips.cc/paper_files/paper/2022/hash/266983d0949aed78a16fa4782237dea7-Abstract-Conference.html</x:v>
      </x:c>
      <x:c r="D21" s="35" t="str">
        <x:v>NeurIPS 2022</x:v>
      </x:c>
      <x:c r="E21" s="35" t="str">
        <x:v>Verified</x:v>
      </x:c>
      <x:c r="F21" s="35" t="str">
        <x:v>Check print metadata</x:v>
      </x:c>
      <x:c r="G21" s="35" t="str">
        <x:v>Yes - SCINet</x:v>
      </x:c>
      <x:c r="H21" s="35" t="str">
        <x:v>Retain</x:v>
      </x:c>
      <x:c r="I21" s="35" t="str"/>
      <x:c r="J21" s="35" t="str">
        <x:v>Official proceedings.</x:v>
      </x:c>
    </x:row>
    <x:row r="22" ht="72" customHeight="1">
      <x:c r="A22" s="33" t="n">
        <x:v>21</x:v>
      </x:c>
      <x:c r="B22" s="33" t="str">
        <x:v>Behavioral and physiological signals-based deep multimodal approach for mobile emotion recognition</x:v>
      </x:c>
      <x:c r="C22" s="35" t="str">
        <x:v>https://doi.org/10.1109/TAFFC.2020.2995349</x:v>
      </x:c>
      <x:c r="D22" s="35" t="str">
        <x:v>10.1109/TAFFC.2020.2995349</x:v>
      </x:c>
      <x:c r="E22" s="35" t="str">
        <x:v>Verified</x:v>
      </x:c>
      <x:c r="F22" s="35" t="str">
        <x:v>Check volume/year against final IEEE record</x:v>
      </x:c>
      <x:c r="G22" s="35" t="str">
        <x:v>Partial - mobile emotion modeling, not necessarily StudentLife</x:v>
      </x:c>
      <x:c r="H22" s="35" t="str">
        <x:v>Retain with precise claim</x:v>
      </x:c>
      <x:c r="I22" s="35" t="str"/>
      <x:c r="J22" s="35" t="str">
        <x:v>Do not present as a StudentLife-specific result without confirmation.</x:v>
      </x:c>
    </x:row>
    <x:row r="23" ht="72" customHeight="1">
      <x:c r="A23" s="33" t="n">
        <x:v>22</x:v>
      </x:c>
      <x:c r="B23" s="33" t="str">
        <x:v>DeepSense: A unified deep learning framework for time-series mobile sensing data processing</x:v>
      </x:c>
      <x:c r="C23" s="35" t="str">
        <x:v>https://dl.acm.org/doi/10.1145/3038912.3052577</x:v>
      </x:c>
      <x:c r="D23" s="35" t="str">
        <x:v>10.1145/3038912.3052577</x:v>
      </x:c>
      <x:c r="E23" s="35" t="str">
        <x:v>Verified</x:v>
      </x:c>
      <x:c r="F23" s="35" t="str">
        <x:v>Yes</x:v>
      </x:c>
      <x:c r="G23" s="35" t="str">
        <x:v>Yes - mobile sensing framework</x:v>
      </x:c>
      <x:c r="H23" s="35" t="str">
        <x:v>Retain</x:v>
      </x:c>
      <x:c r="I23" s="35" t="str"/>
      <x:c r="J23" s="35" t="str">
        <x:v>Official ACM record.</x:v>
      </x:c>
    </x:row>
    <x:row r="24" ht="72" customHeight="1">
      <x:c r="A24" s="33" t="n">
        <x:v>23</x:v>
      </x:c>
      <x:c r="B24" s="33" t="str">
        <x:v>Vocal biomarkers of depression based on motor incoordination</x:v>
      </x:c>
      <x:c r="C24" s="35" t="str">
        <x:v>https://dl.acm.org/doi/10.1145/2512530.2512531</x:v>
      </x:c>
      <x:c r="D24" s="35" t="str">
        <x:v>10.1145/2512530.2512531</x:v>
      </x:c>
      <x:c r="E24" s="35" t="str">
        <x:v>Verified</x:v>
      </x:c>
      <x:c r="F24" s="35" t="str">
        <x:v>Yes</x:v>
      </x:c>
      <x:c r="G24" s="35" t="str">
        <x:v>Yes - acoustic depression biomarkers</x:v>
      </x:c>
      <x:c r="H24" s="35" t="str">
        <x:v>Retain</x:v>
      </x:c>
      <x:c r="I24" s="35" t="str"/>
      <x:c r="J24" s="35" t="str">
        <x:v>Official ACM record.</x:v>
      </x:c>
    </x:row>
    <x:row r="25" ht="72" customHeight="1">
      <x:c r="A25" s="33" t="n">
        <x:v>24</x:v>
      </x:c>
      <x:c r="B25" s="33" t="str">
        <x:v>Measuring depression symptom severity from spoken language and 3D facial expressions</x:v>
      </x:c>
      <x:c r="C25" s="35" t="str">
        <x:v>https://arxiv.org/abs/1811.08592</x:v>
      </x:c>
      <x:c r="D25" s="35" t="str">
        <x:v>arXiv:1811.08592</x:v>
      </x:c>
      <x:c r="E25" s="35" t="str">
        <x:v>Verified</x:v>
      </x:c>
      <x:c r="F25" s="35" t="str">
        <x:v>Identify workshop citation accurately</x:v>
      </x:c>
      <x:c r="G25" s="35" t="str">
        <x:v>Yes - multimodal depression severity</x:v>
      </x:c>
      <x:c r="H25" s="35" t="str">
        <x:v>Retain with correct venue form</x:v>
      </x:c>
      <x:c r="I25" s="35" t="str"/>
      <x:c r="J25" s="35" t="str">
        <x:v>Avoid invented page range.</x:v>
      </x:c>
    </x:row>
    <x:row r="26" ht="72" customHeight="1">
      <x:c r="A26" s="33" t="n">
        <x:v>25</x:v>
      </x:c>
      <x:c r="B26" s="33" t="str">
        <x:v>Temporal attention LSTM for depression detection from acoustic features</x:v>
      </x:c>
      <x:c r="C26" s="35" t="str">
        <x:v>https://www.isca-archive.org/interspeech_2018/alhanai18_interspeech.html</x:v>
      </x:c>
      <x:c r="D26" s="35" t="str">
        <x:v>10.21437/Interspeech.2018-2522</x:v>
      </x:c>
      <x:c r="E26" s="35" t="str">
        <x:v>Submitted record not found; replacement verified</x:v>
      </x:c>
      <x:c r="F26" s="35" t="str">
        <x:v>Replace title/authors/year</x:v>
      </x:c>
      <x:c r="G26" s="35" t="str">
        <x:v>Yes - sequence modeling of depression interviews</x:v>
      </x:c>
      <x:c r="H26" s="35" t="str">
        <x:v>Replace</x:v>
      </x:c>
      <x:c r="I26" s="35" t="str">
        <x:v>Al Hanai, Ghassemi &amp; Glass, 'Detecting Depression with Audio/Text Sequence Modeling of Interviews,' Interspeech 2018</x:v>
      </x:c>
      <x:c r="J26" s="35" t="str">
        <x:v>No authoritative record found for submitted Yin/Wang/Wang 2021 entry.</x:v>
      </x:c>
    </x:row>
    <x:row r="27" ht="72" customHeight="1">
      <x:c r="A27" s="33" t="n">
        <x:v>26</x:v>
      </x:c>
      <x:c r="B27" s="33" t="str">
        <x:v>Multimodal transformer for unaligned multimodal language sequences</x:v>
      </x:c>
      <x:c r="C27" s="35" t="str">
        <x:v>https://aclanthology.org/P19-1656/</x:v>
      </x:c>
      <x:c r="D27" s="35" t="str">
        <x:v>10.18653/v1/P19-1656</x:v>
      </x:c>
      <x:c r="E27" s="35" t="str">
        <x:v>Verified</x:v>
      </x:c>
      <x:c r="F27" s="35" t="str">
        <x:v>Yes</x:v>
      </x:c>
      <x:c r="G27" s="35" t="str">
        <x:v>Partial - multimodal sequence fusion, not DAIC-specific</x:v>
      </x:c>
      <x:c r="H27" s="35" t="str">
        <x:v>Retain with precise general claim</x:v>
      </x:c>
      <x:c r="I27" s="35" t="str"/>
      <x:c r="J27" s="35" t="str">
        <x:v>Official ACL record.</x:v>
      </x:c>
    </x:row>
    <x:row r="28" ht="72" customHeight="1">
      <x:c r="A28" s="33" t="n">
        <x:v>27</x:v>
      </x:c>
      <x:c r="B28" s="33" t="str">
        <x:v>From regional to global brain: A hierarchical spatial-temporal neural network for EEG emotion recognition</x:v>
      </x:c>
      <x:c r="C28" s="35" t="str">
        <x:v>https://doi.org/10.1109/TAFFC.2019.2922912</x:v>
      </x:c>
      <x:c r="D28" s="35" t="str">
        <x:v>10.1109/TAFFC.2019.2922912</x:v>
      </x:c>
      <x:c r="E28" s="35" t="str">
        <x:v>Verified</x:v>
      </x:c>
      <x:c r="F28" s="35" t="str">
        <x:v>Use final volume/year from IEEE</x:v>
      </x:c>
      <x:c r="G28" s="35" t="str">
        <x:v>Yes - EEG emotion architecture</x:v>
      </x:c>
      <x:c r="H28" s="35" t="str">
        <x:v>Retain/correct print year</x:v>
      </x:c>
      <x:c r="I28" s="35" t="str"/>
      <x:c r="J28" s="35" t="str">
        <x:v>Online 2019; final issue metadata may be 2022.</x:v>
      </x:c>
    </x:row>
    <x:row r="29" ht="72" customHeight="1">
      <x:c r="A29" s="33" t="n">
        <x:v>28</x:v>
      </x:c>
      <x:c r="B29" s="33" t="str">
        <x:v>EEG emotion recognition using dynamical graph convolutional neural networks</x:v>
      </x:c>
      <x:c r="C29" s="35" t="str">
        <x:v>https://doi.org/10.1109/TAFFC.2018.2817622</x:v>
      </x:c>
      <x:c r="D29" s="35" t="str">
        <x:v>10.1109/TAFFC.2018.2817622</x:v>
      </x:c>
      <x:c r="E29" s="35" t="str">
        <x:v>Verified</x:v>
      </x:c>
      <x:c r="F29" s="35" t="str">
        <x:v>Use final issue year from IEEE</x:v>
      </x:c>
      <x:c r="G29" s="35" t="str">
        <x:v>Yes - EEG graph model</x:v>
      </x:c>
      <x:c r="H29" s="35" t="str">
        <x:v>Retain/correct print year</x:v>
      </x:c>
      <x:c r="I29" s="35" t="str"/>
      <x:c r="J29" s="35" t="str">
        <x:v>Online 2018; final issue metadata is later.</x:v>
      </x:c>
    </x:row>
    <x:row r="30" ht="72" customHeight="1">
      <x:c r="A30" s="33" t="n">
        <x:v>29</x:v>
      </x:c>
      <x:c r="B30" s="33" t="str">
        <x:v>Horovod: Fast and easy distributed deep learning in TensorFlow</x:v>
      </x:c>
      <x:c r="C30" s="35" t="str">
        <x:v>https://arxiv.org/abs/1802.05799</x:v>
      </x:c>
      <x:c r="D30" s="35" t="str">
        <x:v>arXiv:1802.05799</x:v>
      </x:c>
      <x:c r="E30" s="35" t="str">
        <x:v>Verified</x:v>
      </x:c>
      <x:c r="F30" s="35" t="str">
        <x:v>Yes</x:v>
      </x:c>
      <x:c r="G30" s="35" t="str">
        <x:v>Yes - Horovod</x:v>
      </x:c>
      <x:c r="H30" s="35" t="str">
        <x:v>Retain</x:v>
      </x:c>
      <x:c r="I30" s="35" t="str"/>
      <x:c r="J30" s="35" t="str">
        <x:v>Official arXiv record.</x:v>
      </x:c>
    </x:row>
    <x:row r="31" ht="72" customHeight="1">
      <x:c r="A31" s="33" t="n">
        <x:v>30</x:v>
      </x:c>
      <x:c r="B31" s="33" t="str">
        <x:v>The future of digital health with federated learning</x:v>
      </x:c>
      <x:c r="C31" s="35" t="str">
        <x:v>https://www.nature.com/articles/s41746-020-00323-1</x:v>
      </x:c>
      <x:c r="D31" s="35" t="str">
        <x:v>10.1038/s41746-020-00323-1</x:v>
      </x:c>
      <x:c r="E31" s="35" t="str">
        <x:v>Verified</x:v>
      </x:c>
      <x:c r="F31" s="35" t="str">
        <x:v>Use article number 119</x:v>
      </x:c>
      <x:c r="G31" s="35" t="str">
        <x:v>Yes - federated digital health</x:v>
      </x:c>
      <x:c r="H31" s="35" t="str">
        <x:v>Retain/correct pages</x:v>
      </x:c>
      <x:c r="I31" s="35" t="str"/>
      <x:c r="J31" s="35" t="str">
        <x:v>NPJ Digital Medicine uses an article number, not pp. 1-7 as primary locator.</x:v>
      </x:c>
    </x:row>
    <x:row r="32" ht="72" customHeight="1">
      <x:c r="A32" s="33" t="n">
        <x:v>31</x:v>
      </x:c>
      <x:c r="B32" s="33" t="str">
        <x:v>Model-agnostic meta-learning for fast adaptation of deep networks</x:v>
      </x:c>
      <x:c r="C32" s="35" t="str">
        <x:v>https://proceedings.mlr.press/v70/finn17a.html</x:v>
      </x:c>
      <x:c r="D32" s="35" t="str">
        <x:v>PMLR 70</x:v>
      </x:c>
      <x:c r="E32" s="35" t="str">
        <x:v>Verified</x:v>
      </x:c>
      <x:c r="F32" s="35" t="str">
        <x:v>Yes</x:v>
      </x:c>
      <x:c r="G32" s="35" t="str">
        <x:v>Yes - MAML/fast adaptation</x:v>
      </x:c>
      <x:c r="H32" s="35" t="str">
        <x:v>Retain and reuse for cold-start future work</x:v>
      </x:c>
      <x:c r="I32" s="35" t="str"/>
      <x:c r="J32" s="35" t="str">
        <x:v>Official PMLR record.</x:v>
      </x:c>
    </x:row>
    <x:row r="33" ht="72" customHeight="1">
      <x:c r="A33" s="33" t="n">
        <x:v>32</x:v>
      </x:c>
      <x:c r="B33" s="33" t="str">
        <x:v>Network biomarkers of cognitive performance for memory restoration</x:v>
      </x:c>
      <x:c r="C33" s="35" t="str">
        <x:v>https://doi.org/10.1016/j.neuron.2012.10.011</x:v>
      </x:c>
      <x:c r="D33" s="35" t="str">
        <x:v>10.1016/j.neuron.2012.10.011</x:v>
      </x:c>
      <x:c r="E33" s="35" t="str">
        <x:v>Submitted record not found; replacement verified</x:v>
      </x:c>
      <x:c r="F33" s="35" t="str">
        <x:v>Replace entirely</x:v>
      </x:c>
      <x:c r="G33" s="35" t="str">
        <x:v>Partial - general hierarchical temporal processing only</x:v>
      </x:c>
      <x:c r="H33" s="35" t="str">
        <x:v>Replace</x:v>
      </x:c>
      <x:c r="I33" s="35" t="str">
        <x:v>Honey et al., 'Slow Cortical Dynamics and the Accumulation of Information over Long Timescales,' Neuron 2012</x:v>
      </x:c>
      <x:c r="J33" s="35" t="str">
        <x:v>Do not use replacement to justify exact dilation schedules or EEG bands in phone data.</x:v>
      </x:c>
    </x:row>
    <x:row r="34" ht="72" customHeight="1">
      <x:c r="A34" s="33" t="n">
        <x:v>33</x:v>
      </x:c>
      <x:c r="B34" s="33" t="str">
        <x:v>Asynchronous parallel stochastic gradient for nonconvex optimization</x:v>
      </x:c>
      <x:c r="C34" s="35" t="str">
        <x:v>https://proceedings.neurips.cc/paper/2015/hash/36ac8e558ac7690b6f44e2cb5ef93322-Abstract.html</x:v>
      </x:c>
      <x:c r="D34" s="35" t="str">
        <x:v>NeurIPS 2015</x:v>
      </x:c>
      <x:c r="E34" s="35" t="str">
        <x:v>Verified</x:v>
      </x:c>
      <x:c r="F34" s="35" t="str">
        <x:v>Yes</x:v>
      </x:c>
      <x:c r="G34" s="35" t="str">
        <x:v>Limited - asynchronous SGD under its assumptions</x:v>
      </x:c>
      <x:c r="H34" s="35" t="str">
        <x:v>Retain only in related work; remove convergence inheritance claim</x:v>
      </x:c>
      <x:c r="I34" s="35" t="str"/>
      <x:c r="J34" s="35" t="str">
        <x:v>Does not directly prove masked/HOLD estimator convergence.</x:v>
      </x:c>
    </x:row>
    <x:row r="35" ht="72" customHeight="1">
      <x:c r="A35" s="33" t="n">
        <x:v>34</x:v>
      </x:c>
      <x:c r="B35" s="33" t="str">
        <x:v>The Geneva minimalistic acoustic parameter set (GeMAPS)</x:v>
      </x:c>
      <x:c r="C35" s="35" t="str">
        <x:v>https://doi.org/10.1109/TAFFC.2015.2457417</x:v>
      </x:c>
      <x:c r="D35" s="35" t="str">
        <x:v>10.1109/TAFFC.2015.2457417</x:v>
      </x:c>
      <x:c r="E35" s="35" t="str">
        <x:v>Verified</x:v>
      </x:c>
      <x:c r="F35" s="35" t="str">
        <x:v>Yes</x:v>
      </x:c>
      <x:c r="G35" s="35" t="str">
        <x:v>Yes - GeMAPS</x:v>
      </x:c>
      <x:c r="H35" s="35" t="str">
        <x:v>Retain</x:v>
      </x:c>
      <x:c r="I35" s="35" t="str"/>
      <x:c r="J35" s="35" t="str">
        <x:v>Official DOI.</x:v>
      </x:c>
    </x:row>
    <x:row r="36" ht="72" customHeight="1">
      <x:c r="A36" s="33" t="n">
        <x:v>35</x:v>
      </x:c>
      <x:c r="B36" s="33" t="str">
        <x:v>openSMILE: The Munich versatile and fast open-source audio feature extractor</x:v>
      </x:c>
      <x:c r="C36" s="35" t="str">
        <x:v>https://dl.acm.org/doi/10.1145/1873951.1874246</x:v>
      </x:c>
      <x:c r="D36" s="35" t="str">
        <x:v>10.1145/1873951.1874246</x:v>
      </x:c>
      <x:c r="E36" s="35" t="str">
        <x:v>Verified</x:v>
      </x:c>
      <x:c r="F36" s="35" t="str">
        <x:v>Yes</x:v>
      </x:c>
      <x:c r="G36" s="35" t="str">
        <x:v>Yes - openSMILE</x:v>
      </x:c>
      <x:c r="H36" s="35" t="str">
        <x:v>Retain</x:v>
      </x:c>
      <x:c r="I36" s="35" t="str"/>
      <x:c r="J36" s="35" t="str">
        <x:v>Official ACM record.</x:v>
      </x:c>
    </x:row>
    <x:row r="37" ht="72" customHeight="1">
      <x:c r="A37" s="33" t="n">
        <x:v>36</x:v>
      </x:c>
      <x:c r="B37" s="33" t="str">
        <x:v>Adam: A method for stochastic optimization</x:v>
      </x:c>
      <x:c r="C37" s="35" t="str">
        <x:v>https://arxiv.org/abs/1412.6980</x:v>
      </x:c>
      <x:c r="D37" s="35" t="str">
        <x:v>arXiv:1412.6980</x:v>
      </x:c>
      <x:c r="E37" s="35" t="str">
        <x:v>Verified</x:v>
      </x:c>
      <x:c r="F37" s="35" t="str">
        <x:v>Yes</x:v>
      </x:c>
      <x:c r="G37" s="35" t="str">
        <x:v>Yes - Adam</x:v>
      </x:c>
      <x:c r="H37" s="35" t="str">
        <x:v>Retain</x:v>
      </x:c>
      <x:c r="I37" s="35" t="str"/>
      <x:c r="J37" s="35" t="str">
        <x:v>Canonical record.</x:v>
      </x:c>
    </x:row>
    <x:row r="38" ht="72" customHeight="1">
      <x:c r="A38" s="33" t="n">
        <x:v>37</x:v>
      </x:c>
      <x:c r="B38" s="33" t="str">
        <x:v>Meta-learning for personalized cognitive state prediction</x:v>
      </x:c>
      <x:c r="C38" s="35" t="str">
        <x:v>https://proceedings.mlr.press/v70/finn17a.html</x:v>
      </x:c>
      <x:c r="D38" s="35" t="str">
        <x:v>PMLR 70 (reuse current [31])</x:v>
      </x:c>
      <x:c r="E38" s="35" t="str">
        <x:v>Submitted record not found; replacement verified</x:v>
      </x:c>
      <x:c r="F38" s="35" t="str">
        <x:v>Remove duplicate/unverified entry</x:v>
      </x:c>
      <x:c r="G38" s="35" t="str">
        <x:v>Yes - general meta-learning future direction</x:v>
      </x:c>
      <x:c r="H38" s="35" t="str">
        <x:v>Remove and cite existing MAML [31]</x:v>
      </x:c>
      <x:c r="I38" s="35" t="str">
        <x:v>Existing reference [31]</x:v>
      </x:c>
      <x:c r="J38" s="35" t="str">
        <x:v>No authoritative record found for submitted Li &amp; Bi UbiComp 2021 entry.</x:v>
      </x:c>
    </x:row>
    <x:row r="39" ht="72" customHeight="1">
      <x:c r="A39" s="33" t="n">
        <x:v>38</x:v>
      </x:c>
      <x:c r="B39" s="33" t="str">
        <x:v>Federated learning: Challenges, methods, and future directions</x:v>
      </x:c>
      <x:c r="C39" s="35" t="str">
        <x:v>https://doi.org/10.1109/MSP.2020.2975749</x:v>
      </x:c>
      <x:c r="D39" s="35" t="str">
        <x:v>10.1109/MSP.2020.2975749</x:v>
      </x:c>
      <x:c r="E39" s="35" t="str">
        <x:v>Verified</x:v>
      </x:c>
      <x:c r="F39" s="35" t="str">
        <x:v>Yes</x:v>
      </x:c>
      <x:c r="G39" s="35" t="str">
        <x:v>Yes - federated learning challenges</x:v>
      </x:c>
      <x:c r="H39" s="35" t="str">
        <x:v>Retain</x:v>
      </x:c>
      <x:c r="I39" s="35" t="str"/>
      <x:c r="J39" s="35" t="str">
        <x:v>Official DOI; authors T. Li, A. K. Sahu, A. Talwalkar and V. Smith.</x:v>
      </x:c>
    </x:row>
  </x:sheetData>
  <x:conditionalFormatting sqref="E2:G39">
    <x:cfRule type="expression" dxfId="10" priority="1">
      <x:formula>E2="No"</x:formula>
    </x:cfRule>
  </x:conditionalFormatting>
  <x:dataValidations count="3">
    <x:dataValidation type="list" sqref="E2:E39">
      <x:formula1>"Unverified,Yes,No,Partial"</x:formula1>
    </x:dataValidation>
    <x:dataValidation type="list" sqref="F2:F39">
      <x:formula1>"Unverified,Yes,No,Partial"</x:formula1>
    </x:dataValidation>
    <x:dataValidation type="list" sqref="G2:G39">
      <x:formula1>"Unverified,Yes,No,Partial"</x:formula1>
    </x:dataValidation>
  </x:dataValidations>
  <x:pageMargins left="0.7" right="0.7" top="0.75" bottom="0.75" header="0.3" footer="0.3"/>
  <x:tableParts count="1">
    <x:tablePart xmlns:r="http://schemas.openxmlformats.org/officeDocument/2006/relationships" r:id="Rab4a43731df24d63"/>
  </x:tableParts>
</x:worksheet>
</file>

<file path=xl/worksheets/sheet7.xml><?xml version="1.0" encoding="utf-8"?>
<x:worksheet xmlns:x="http://schemas.openxmlformats.org/spreadsheetml/2006/main">
  <x:sheetFormatPr defaultRowHeight="15"/>
  <x:cols>
    <x:col min="1" max="1" width="13" hidden="0" customWidth="1"/>
    <x:col min="2" max="2" width="39" hidden="0" customWidth="1"/>
    <x:col min="3" max="3" width="24" hidden="0" customWidth="1"/>
    <x:col min="4" max="4" width="38" hidden="0" customWidth="1"/>
    <x:col min="5" max="5" width="16" hidden="0" customWidth="1"/>
    <x:col min="6" max="6" width="30" hidden="0" customWidth="1"/>
    <x:col min="7" max="7" width="37" hidden="0" customWidth="1"/>
    <x:col min="8" max="8" width="24" hidden="0" customWidth="1"/>
    <x:col min="9" max="9" width="15" hidden="0" customWidth="1"/>
    <x:col min="10" max="10" width="18" hidden="0" customWidth="1"/>
    <x:col min="11" max="11" width="16" hidden="0" customWidth="1"/>
    <x:col min="12" max="12" width="42" hidden="0" customWidth="1"/>
    <x:col min="13" max="13" width="28" hidden="0" customWidth="1"/>
  </x:cols>
  <x:sheetData>
    <x:row r="1" ht="30" customHeight="1">
      <x:c r="A1" s="95" t="str">
        <x:v>Experiment ID</x:v>
      </x:c>
      <x:c r="B1" s="95" t="str">
        <x:v>Question / Hypothesis</x:v>
      </x:c>
      <x:c r="C1" s="95" t="str">
        <x:v>Dataset / Workload</x:v>
      </x:c>
      <x:c r="D1" s="95" t="str">
        <x:v>Configurations</x:v>
      </x:c>
      <x:c r="E1" s="95" t="str">
        <x:v>Runs Planned</x:v>
      </x:c>
      <x:c r="F1" s="95" t="str">
        <x:v>Primary Metrics</x:v>
      </x:c>
      <x:c r="G1" s="95" t="str">
        <x:v>Required Controls</x:v>
      </x:c>
      <x:c r="H1" s="95" t="str">
        <x:v>Output / Figure</x:v>
      </x:c>
      <x:c r="I1" s="95" t="str">
        <x:v>Dependency</x:v>
      </x:c>
      <x:c r="J1" s="95" t="str">
        <x:v>Owner</x:v>
      </x:c>
      <x:c r="K1" s="95" t="str">
        <x:v>Status</x:v>
      </x:c>
      <x:c r="L1" s="95" t="str">
        <x:v>Result Summary</x:v>
      </x:c>
      <x:c r="M1" s="95" t="str">
        <x:v>Log / Commit</x:v>
      </x:c>
    </x:row>
    <x:row r="2">
      <x:c r="A2" s="33" t="str">
        <x:v>EX-01</x:v>
      </x:c>
      <x:c r="B2" s="33" t="str">
        <x:v>Does DDP degrade due to the claimed temporal mechanism after confounder control?</x:v>
      </x:c>
      <x:c r="C2" s="33" t="str">
        <x:v>StudentLife; DAIC-WOZ</x:v>
      </x:c>
      <x:c r="D2" s="33" t="str">
        <x:v>Matched batch/LR; chronological vs random; stateful vs stateless</x:v>
      </x:c>
      <x:c r="E2" s="33" t="str">
        <x:v>10 seeds/config</x:v>
      </x:c>
      <x:c r="F2" s="33" t="str">
        <x:v>F1, loss, convergence</x:v>
      </x:c>
      <x:c r="G2" s="33" t="str">
        <x:v>Same split, sampler, effective batch, tuning</x:v>
      </x:c>
      <x:c r="H2" s="33" t="str">
        <x:v>Controlled-causality table</x:v>
      </x:c>
      <x:c r="I2" s="33" t="str">
        <x:v>E4-01</x:v>
      </x:c>
      <x:c r="J2" s="33" t="str">
        <x:v>Aditya</x:v>
      </x:c>
      <x:c r="K2" s="33" t="str">
        <x:v>Not Started</x:v>
      </x:c>
      <x:c r="L2" s="33" t="str"/>
      <x:c r="M2" s="33" t="str"/>
    </x:row>
    <x:row r="3">
      <x:c r="A3" s="33" t="str">
        <x:v>EX-02</x:v>
      </x:c>
      <x:c r="B3" s="33" t="str">
        <x:v>Does the method scale on physical hosts?</x:v>
      </x:c>
      <x:c r="C3" s="33" t="str">
        <x:v>True multi-node cluster</x:v>
      </x:c>
      <x:c r="D3" s="33" t="str">
        <x:v>1,2,4 hosts; D-MSTCN vs DDP</x:v>
      </x:c>
      <x:c r="E3" s="33" t="str">
        <x:v>5–10 repeats</x:v>
      </x:c>
      <x:c r="F3" s="33" t="str">
        <x:v>Throughput, efficiency, F1, comm, tail latency</x:v>
      </x:c>
      <x:c r="G3" s="33" t="str">
        <x:v>Identical hardware/config</x:v>
      </x:c>
      <x:c r="H3" s="33" t="str">
        <x:v>Multi-node curves</x:v>
      </x:c>
      <x:c r="I3" s="33" t="str">
        <x:v>D1-01</x:v>
      </x:c>
      <x:c r="J3" s="33" t="str">
        <x:v>Aditya + Infra</x:v>
      </x:c>
      <x:c r="K3" s="33" t="str">
        <x:v>Not Started</x:v>
      </x:c>
      <x:c r="L3" s="33" t="str"/>
      <x:c r="M3" s="33" t="str"/>
    </x:row>
    <x:row r="4">
      <x:c r="A4" s="33" t="str">
        <x:v>EX-03</x:v>
      </x:c>
      <x:c r="B4" s="33" t="str">
        <x:v>How does workload scale affect performance?</x:v>
      </x:c>
      <x:c r="C4" s="33" t="str">
        <x:v>Synthetic longitudinal workload</x:v>
      </x:c>
      <x:c r="D4" s="33" t="str">
        <x:v>Participants, T, d, classes</x:v>
      </x:c>
      <x:c r="E4" s="33" t="str">
        <x:v>5 repeats</x:v>
      </x:c>
      <x:c r="F4" s="33" t="str">
        <x:v>Throughput, memory, comm</x:v>
      </x:c>
      <x:c r="G4" s="33" t="str">
        <x:v>Transparent generator</x:v>
      </x:c>
      <x:c r="H4" s="33" t="str">
        <x:v>Scale curves</x:v>
      </x:c>
      <x:c r="I4" s="33" t="str">
        <x:v>D1-02</x:v>
      </x:c>
      <x:c r="J4" s="33" t="str">
        <x:v>Aditya</x:v>
      </x:c>
      <x:c r="K4" s="33" t="str">
        <x:v>Not Started</x:v>
      </x:c>
      <x:c r="L4" s="33" t="str"/>
      <x:c r="M4" s="33" t="str"/>
    </x:row>
    <x:row r="5">
      <x:c r="A5" s="33" t="str">
        <x:v>EX-04</x:v>
      </x:c>
      <x:c r="B5" s="33" t="str">
        <x:v>Sensitivity to network conditions and stragglers</x:v>
      </x:c>
      <x:c r="C5" s="33" t="str">
        <x:v>Cluster/emulation</x:v>
      </x:c>
      <x:c r="D5" s="33" t="str">
        <x:v>RTT, bandwidth, jitter, straggler levels</x:v>
      </x:c>
      <x:c r="E5" s="33" t="str">
        <x:v>5–10 repeats</x:v>
      </x:c>
      <x:c r="F5" s="33" t="str">
        <x:v>Mean/tail latency, η, F1</x:v>
      </x:c>
      <x:c r="G5" s="33" t="str">
        <x:v>Warmup and repeated runs</x:v>
      </x:c>
      <x:c r="H5" s="33" t="str">
        <x:v>Robustness plots</x:v>
      </x:c>
      <x:c r="I5" s="33" t="str">
        <x:v>EX-02</x:v>
      </x:c>
      <x:c r="J5" s="33" t="str">
        <x:v>Aditya</x:v>
      </x:c>
      <x:c r="K5" s="33" t="str">
        <x:v>Not Started</x:v>
      </x:c>
      <x:c r="L5" s="33" t="str"/>
      <x:c r="M5" s="33" t="str"/>
    </x:row>
    <x:row r="6">
      <x:c r="A6" s="33" t="str">
        <x:v>EX-05</x:v>
      </x:c>
      <x:c r="B6" s="33" t="str">
        <x:v>Are chosen dilation schedules optimal?</x:v>
      </x:c>
      <x:c r="C6" s="33" t="str">
        <x:v>All datasets</x:v>
      </x:c>
      <x:c r="D6" s="33" t="str">
        <x:v>Default + 2 alternatives + adaptive option</x:v>
      </x:c>
      <x:c r="E6" s="33" t="str">
        <x:v>10 seeds key configs</x:v>
      </x:c>
      <x:c r="F6" s="33" t="str">
        <x:v>F1, params, latency</x:v>
      </x:c>
      <x:c r="G6" s="33" t="str">
        <x:v>Same training budget</x:v>
      </x:c>
      <x:c r="H6" s="33" t="str">
        <x:v>Ablation table</x:v>
      </x:c>
      <x:c r="I6" s="33" t="str">
        <x:v>T2-02</x:v>
      </x:c>
      <x:c r="J6" s="33" t="str">
        <x:v>Aditya</x:v>
      </x:c>
      <x:c r="K6" s="33" t="str">
        <x:v>Not Started</x:v>
      </x:c>
      <x:c r="L6" s="33" t="str"/>
      <x:c r="M6" s="33" t="str"/>
    </x:row>
    <x:row r="7">
      <x:c r="A7" s="33" t="str">
        <x:v>EX-06</x:v>
      </x:c>
      <x:c r="B7" s="33" t="str">
        <x:v>Why three branches and K=3?</x:v>
      </x:c>
      <x:c r="C7" s="33" t="str">
        <x:v>All datasets</x:v>
      </x:c>
      <x:c r="D7" s="33" t="str">
        <x:v>1/2/3/4 branches; K=3/5</x:v>
      </x:c>
      <x:c r="E7" s="33" t="str">
        <x:v>5–10 seeds</x:v>
      </x:c>
      <x:c r="F7" s="33" t="str">
        <x:v>F1, params, memory</x:v>
      </x:c>
      <x:c r="G7" s="33" t="str">
        <x:v>Parameter-matched where possible</x:v>
      </x:c>
      <x:c r="H7" s="33" t="str">
        <x:v>Architecture ablation</x:v>
      </x:c>
      <x:c r="I7" s="33" t="str">
        <x:v>EX-05</x:v>
      </x:c>
      <x:c r="J7" s="33" t="str">
        <x:v>Aditya</x:v>
      </x:c>
      <x:c r="K7" s="33" t="str">
        <x:v>Not Started</x:v>
      </x:c>
      <x:c r="L7" s="33" t="str"/>
      <x:c r="M7" s="33" t="str"/>
    </x:row>
    <x:row r="8">
      <x:c r="A8" s="33" t="str">
        <x:v>EX-07</x:v>
      </x:c>
      <x:c r="B8" s="33" t="str">
        <x:v>Is CSAG better than credible fusion alternatives?</x:v>
      </x:c>
      <x:c r="C8" s="33" t="str">
        <x:v>All datasets</x:v>
      </x:c>
      <x:c r="D8" s="33" t="str">
        <x:v>Average, concat+MLP, scalar gate, attention</x:v>
      </x:c>
      <x:c r="E8" s="33" t="str">
        <x:v>5–10 seeds</x:v>
      </x:c>
      <x:c r="F8" s="33" t="str">
        <x:v>F1, stability, params</x:v>
      </x:c>
      <x:c r="G8" s="33" t="str">
        <x:v>Matched training</x:v>
      </x:c>
      <x:c r="H8" s="33" t="str">
        <x:v>Fusion table</x:v>
      </x:c>
      <x:c r="I8" s="33" t="str">
        <x:v>E4-10</x:v>
      </x:c>
      <x:c r="J8" s="33" t="str">
        <x:v>Aditya</x:v>
      </x:c>
      <x:c r="K8" s="33" t="str">
        <x:v>Not Started</x:v>
      </x:c>
      <x:c r="L8" s="33" t="str"/>
      <x:c r="M8" s="33" t="str"/>
    </x:row>
    <x:row r="9">
      <x:c r="A9" s="33" t="str">
        <x:v>EX-08</x:v>
      </x:c>
      <x:c r="B9" s="33" t="str">
        <x:v>Is FiLM the best lightweight personalization option?</x:v>
      </x:c>
      <x:c r="C9" s="33" t="str">
        <x:v>StudentLife; DAIC-WOZ</x:v>
      </x:c>
      <x:c r="D9" s="33" t="str">
        <x:v>FiLM, adapter, LoRA, fine-tune/meta option</x:v>
      </x:c>
      <x:c r="E9" s="33" t="str">
        <x:v>5–10 seeds</x:v>
      </x:c>
      <x:c r="F9" s="33" t="str">
        <x:v>F1, params, adaptation time</x:v>
      </x:c>
      <x:c r="G9" s="33" t="str">
        <x:v>Same support set</x:v>
      </x:c>
      <x:c r="H9" s="33" t="str">
        <x:v>Personalization table</x:v>
      </x:c>
      <x:c r="I9" s="33" t="str">
        <x:v>V3-03</x:v>
      </x:c>
      <x:c r="J9" s="33" t="str">
        <x:v>Aditya</x:v>
      </x:c>
      <x:c r="K9" s="33" t="str">
        <x:v>Not Started</x:v>
      </x:c>
      <x:c r="L9" s="33" t="str"/>
      <x:c r="M9" s="33" t="str"/>
    </x:row>
    <x:row r="10">
      <x:c r="A10" s="33" t="str">
        <x:v>EX-09</x:v>
      </x:c>
      <x:c r="B10" s="33" t="str">
        <x:v>How does personalization work for unseen subjects?</x:v>
      </x:c>
      <x:c r="C10" s="33" t="str">
        <x:v>Subject-held-out splits</x:v>
      </x:c>
      <x:c r="D10" s="33" t="str">
        <x:v>Unknown embedding; few-shot support sizes</x:v>
      </x:c>
      <x:c r="E10" s="33" t="str">
        <x:v>10 splits/seeds</x:v>
      </x:c>
      <x:c r="F10" s="33" t="str">
        <x:v>F1 vs support size</x:v>
      </x:c>
      <x:c r="G10" s="33" t="str">
        <x:v>No test leakage</x:v>
      </x:c>
      <x:c r="H10" s="33" t="str">
        <x:v>Cold-start curve</x:v>
      </x:c>
      <x:c r="I10" s="33" t="str">
        <x:v>EX-08</x:v>
      </x:c>
      <x:c r="J10" s="33" t="str">
        <x:v>Aditya</x:v>
      </x:c>
      <x:c r="K10" s="33" t="str">
        <x:v>Not Started</x:v>
      </x:c>
      <x:c r="L10" s="33" t="str"/>
      <x:c r="M10" s="33" t="str"/>
    </x:row>
    <x:row r="11">
      <x:c r="A11" s="33" t="str">
        <x:v>EX-10</x:v>
      </x:c>
      <x:c r="B11" s="33" t="str">
        <x:v>Are significance claims valid?</x:v>
      </x:c>
      <x:c r="C11" s="33" t="str">
        <x:v>Headline comparisons</x:v>
      </x:c>
      <x:c r="D11" s="33" t="str">
        <x:v>&gt;=10 paired seeds</x:v>
      </x:c>
      <x:c r="E11" s="33" t="str">
        <x:v>10+</x:v>
      </x:c>
      <x:c r="F11" s="33" t="str">
        <x:v>Exact p, CI, effect size</x:v>
      </x:c>
      <x:c r="G11" s="33" t="str">
        <x:v>Same seed list</x:v>
      </x:c>
      <x:c r="H11" s="33" t="str">
        <x:v>Statistical appendix</x:v>
      </x:c>
      <x:c r="I11" s="33" t="str">
        <x:v>E4-13</x:v>
      </x:c>
      <x:c r="J11" s="33" t="str">
        <x:v>Aditya</x:v>
      </x:c>
      <x:c r="K11" s="33" t="str">
        <x:v>Not Started</x:v>
      </x:c>
      <x:c r="L11" s="33" t="str"/>
      <x:c r="M11" s="33" t="str"/>
    </x:row>
    <x:row r="12">
      <x:c r="A12" s="33" t="str">
        <x:v>EX-11</x:v>
      </x:c>
      <x:c r="B12" s="33" t="str">
        <x:v>What is the full compute cost?</x:v>
      </x:c>
      <x:c r="C12" s="33" t="str">
        <x:v>Representative shapes</x:v>
      </x:c>
      <x:c r="D12" s="33" t="str">
        <x:v>All main models</x:v>
      </x:c>
      <x:c r="E12" s="33" t="str">
        <x:v>Repeated profile</x:v>
      </x:c>
      <x:c r="F12" s="33" t="str">
        <x:v>Params, FLOPs, memory, latency</x:v>
      </x:c>
      <x:c r="G12" s="33" t="str">
        <x:v>Same hardware/batch</x:v>
      </x:c>
      <x:c r="H12" s="33" t="str">
        <x:v>Complexity table</x:v>
      </x:c>
      <x:c r="I12" s="33" t="str">
        <x:v>T2-11</x:v>
      </x:c>
      <x:c r="J12" s="33" t="str">
        <x:v>Aditya</x:v>
      </x:c>
      <x:c r="K12" s="33" t="str">
        <x:v>Not Started</x:v>
      </x:c>
      <x:c r="L12" s="33" t="str"/>
      <x:c r="M12" s="33" t="str"/>
    </x:row>
    <x:row r="13">
      <x:c r="A13" s="33" t="str">
        <x:v>EX-12</x:v>
      </x:c>
      <x:c r="B13" s="33" t="str">
        <x:v>Do analytical communication counts match measured traffic?</x:v>
      </x:c>
      <x:c r="C13" s="33" t="str">
        <x:v>Distributed configs</x:v>
      </x:c>
      <x:c r="D13" s="33" t="str">
        <x:v>D-MSTCN and DDP</x:v>
      </x:c>
      <x:c r="E13" s="33" t="str">
        <x:v>5 repeats</x:v>
      </x:c>
      <x:c r="F13" s="33" t="str">
        <x:v>Bytes/step, bytes/epoch</x:v>
      </x:c>
      <x:c r="G13" s="33" t="str">
        <x:v>Instrumented runtime</x:v>
      </x:c>
      <x:c r="H13" s="33" t="str">
        <x:v>Revised Figure 5</x:v>
      </x:c>
      <x:c r="I13" s="33" t="str">
        <x:v>T2-05</x:v>
      </x:c>
      <x:c r="J13" s="33" t="str">
        <x:v>Aditya</x:v>
      </x:c>
      <x:c r="K13" s="33" t="str">
        <x:v>Not Started</x:v>
      </x:c>
      <x:c r="L13" s="33" t="str"/>
      <x:c r="M13" s="33" t="str"/>
    </x:row>
  </x:sheetData>
  <x:dataValidations count="1">
    <x:dataValidation type="list" sqref="K2:K13">
      <x:formula1>"Not Started,In Progress,Blocked,Ready for Review,Done"</x:formula1>
    </x:dataValidation>
  </x:dataValidations>
  <x:pageMargins left="0.7" right="0.7" top="0.75" bottom="0.75" header="0.3" footer="0.3"/>
  <x:tableParts count="1">
    <x:tablePart xmlns:r="http://schemas.openxmlformats.org/officeDocument/2006/relationships" r:id="Rd165150a8a8448ab"/>
  </x:tableParts>
</x:worksheet>
</file>

<file path=xl/worksheets/sheet8.xml><?xml version="1.0" encoding="utf-8"?>
<x:worksheet xmlns:x="http://schemas.openxmlformats.org/spreadsheetml/2006/main">
  <x:sheetFormatPr defaultRowHeight="15"/>
  <x:cols>
    <x:col min="1" max="1" width="8" hidden="0" customWidth="1"/>
    <x:col min="2" max="2" width="42" hidden="0" customWidth="1"/>
    <x:col min="3" max="3" width="50" hidden="0" customWidth="1"/>
    <x:col min="4" max="4" width="38" hidden="0" customWidth="1"/>
    <x:col min="5" max="5" width="44" hidden="0" customWidth="1"/>
  </x:cols>
  <x:sheetData>
    <x:row r="1" ht="30" customHeight="1">
      <x:c r="A1" s="95" t="str">
        <x:v>Item</x:v>
      </x:c>
      <x:c r="B1" s="95" t="str">
        <x:v>Change from Uploaded Tracker</x:v>
      </x:c>
      <x:c r="C1" s="95" t="str">
        <x:v>Why the Change Is Needed</x:v>
      </x:c>
      <x:c r="D1" s="95" t="str">
        <x:v>Tracker Location / Evidence</x:v>
      </x:c>
      <x:c r="E1" s="95" t="str">
        <x:v>Action</x:v>
      </x:c>
    </x:row>
    <x:row r="2">
      <x:c r="A2" s="33" t="str">
        <x:v>1</x:v>
      </x:c>
      <x:c r="B2" s="33" t="str">
        <x:v>Do not treat 58.7 vs 68.7 as a manuscript discrepancy.</x:v>
      </x:c>
      <x:c r="C2" s="33" t="str">
        <x:v>The submitted Table 2 shows 68.7 ± 2.3; Reviewer 1 appears to have misread the table.</x:v>
      </x:c>
      <x:c r="D2" s="33" t="str">
        <x:v>Uploaded tracker G0/T2 data discrepancy tasks</x:v>
      </x:c>
      <x:c r="E2" s="33" t="str">
        <x:v>Reproduce 68.7 from logs, improve rendering and rebut politely.</x:v>
      </x:c>
    </x:row>
    <x:row r="3">
      <x:c r="A3" s="33" t="str">
        <x:v>2</x:v>
      </x:c>
      <x:c r="B3" s="33" t="str">
        <x:v>Do not state that Algorithm 1 contains a 'date' typo.</x:v>
      </x:c>
      <x:c r="C3" s="33" t="str">
        <x:v>The rendered PDF shows Δ_b += 1; the issue is legibility, not necessarily source text.</x:v>
      </x:c>
      <x:c r="D3" s="33" t="str">
        <x:v>Uploaded tracker T2-06</x:v>
      </x:c>
      <x:c r="E3" s="33" t="str">
        <x:v>Verify source and re-export the algorithm clearly.</x:v>
      </x:c>
    </x:row>
    <x:row r="4">
      <x:c r="A4" s="33" t="str">
        <x:v>3</x:v>
      </x:c>
      <x:c r="B4" s="33" t="str">
        <x:v>Correct personalization parameter accounting.</x:v>
      </x:c>
      <x:c r="C4" s="33" t="str">
        <x:v>Per-subject cost is d_s (8 in the paper); shared matrices are O(D²). It is not '2D per subject'.</x:v>
      </x:c>
      <x:c r="D4" s="33" t="str">
        <x:v>Uploaded tracker T2-04</x:v>
      </x:c>
      <x:c r="E4" s="33" t="str">
        <x:v>Compute exact counts from code and report shared vs per-subject separately.</x:v>
      </x:c>
    </x:row>
    <x:row r="5">
      <x:c r="A5" s="33" t="str">
        <x:v>4</x:v>
      </x:c>
      <x:c r="B5" s="33" t="str">
        <x:v>Do not blindly adopt the reviewer's receptive-field numbers.</x:v>
      </x:c>
      <x:c r="C5" s="33" t="str">
        <x:v>Equation (2) appears to use two convolutions per residual block, requiring a different formula and code verification.</x:v>
      </x:c>
      <x:c r="D5" s="33" t="str">
        <x:v>Uploaded tracker T2-03</x:v>
      </x:c>
      <x:c r="E5" s="33" t="str">
        <x:v>Derive from code and confirm with a receptive-field unit test.</x:v>
      </x:c>
    </x:row>
    <x:row r="6">
      <x:c r="A6" s="33" t="str">
        <x:v>5</x:v>
      </x:c>
      <x:c r="B6" s="33" t="str">
        <x:v>Replace 'confirmed fabricated' with an authoritative provenance audit.</x:v>
      </x:c>
      <x:c r="C6" s="33" t="str">
        <x:v>Absence from a quick search is not enough to make a research-integrity allegation.</x:v>
      </x:c>
      <x:c r="D6" s="33" t="str">
        <x:v>Uploaded tracker Tier 0</x:v>
      </x:c>
      <x:c r="E6" s="33" t="str">
        <x:v>Mark references Unverified until official records are checked.</x:v>
      </x:c>
    </x:row>
    <x:row r="7">
      <x:c r="A7" s="33" t="str">
        <x:v>6</x:v>
      </x:c>
      <x:c r="B7" s="33" t="str">
        <x:v>Add a task to validate the central DDP temporal-causality premise.</x:v>
      </x:c>
      <x:c r="C7" s="33" t="str">
        <x:v>This is the deepest scientific issue and was not explicit enough in the uploaded tracker.</x:v>
      </x:c>
      <x:c r="D7" s="33" t="str">
        <x:v>Manuscript problem statement and reviewers R1/R2/R6</x:v>
      </x:c>
      <x:c r="E7" s="33" t="str">
        <x:v>Define the failure mode and run confounder-controlled experiments.</x:v>
      </x:c>
    </x:row>
    <x:row r="8">
      <x:c r="A8" s="33" t="str">
        <x:v>7</x:v>
      </x:c>
      <x:c r="B8" s="33" t="str">
        <x:v>Add a critical statistical-design task.</x:v>
      </x:c>
      <x:c r="C8" s="33" t="str">
        <x:v>With n=5, exact two-sided Wilcoxon cannot yield p&lt;0.05; significance notation must be reworked.</x:v>
      </x:c>
      <x:c r="D8" s="33" t="str">
        <x:v>Paper reports five seeds and p&lt;0.05 symbols</x:v>
      </x:c>
      <x:c r="E8" s="33" t="str">
        <x:v>Increase runs and report exact tests, CIs and effect sizes.</x:v>
      </x:c>
    </x:row>
    <x:row r="9">
      <x:c r="A9" s="33" t="str">
        <x:v>8</x:v>
      </x:c>
      <x:c r="B9" s="33" t="str">
        <x:v>Add subject/window leakage audits.</x:v>
      </x:c>
      <x:c r="C9" s="33" t="str">
        <x:v>Personalization embeddings and overlapping windows can create hidden train-test leakage.</x:v>
      </x:c>
      <x:c r="D9" s="33" t="str">
        <x:v>StudentLife split and per-subject adapter</x:v>
      </x:c>
      <x:c r="E9" s="33" t="str">
        <x:v>Use subject-independent splits and cold-start evaluation.</x:v>
      </x:c>
    </x:row>
    <x:row r="10">
      <x:c r="A10" s="33" t="str">
        <x:v>9</x:v>
      </x:c>
      <x:c r="B10" s="33" t="str">
        <x:v>Add a task explaining N=16 on eight GPUs.</x:v>
      </x:c>
      <x:c r="C10" s="33" t="str">
        <x:v>The hardware and node-count table are inconsistent.</x:v>
      </x:c>
      <x:c r="D10" s="33" t="str">
        <x:v>Hardware section vs Table 3</x:v>
      </x:c>
      <x:c r="E10" s="33" t="str">
        <x:v>Define node/worker/GPU and remove misleading N values.</x:v>
      </x:c>
    </x:row>
    <x:row r="11">
      <x:c r="A11" s="33" t="str">
        <x:v>10</x:v>
      </x:c>
      <x:c r="B11" s="33" t="str">
        <x:v>Add baseline-fairness controls.</x:v>
      </x:c>
      <x:c r="C11" s="33" t="str">
        <x:v>DDP degradation may come from effective batch size, learning rate or sampler differences.</x:v>
      </x:c>
      <x:c r="D11" s="33" t="str">
        <x:v>Reviewer concerns and causal claim</x:v>
      </x:c>
      <x:c r="E11" s="33" t="str">
        <x:v>Match/tune training protocols before attributing degradation to temporal inconsistency.</x:v>
      </x:c>
    </x:row>
  </x:sheetData>
  <x:pageMargins left="0.7" right="0.7" top="0.75" bottom="0.75" header="0.3" footer="0.3"/>
  <x:tableParts count="1">
    <x:tablePart xmlns:r="http://schemas.openxmlformats.org/officeDocument/2006/relationships" r:id="Rd8a6aac071b84260"/>
  </x:tableParts>
</x:worksheet>
</file>

<file path=xl/worksheets/sheet9.xml><?xml version="1.0" encoding="utf-8"?>
<x:worksheet xmlns:x="http://schemas.openxmlformats.org/spreadsheetml/2006/main">
  <x:sheetFormatPr defaultRowHeight="15"/>
  <x:cols>
    <x:col min="1" max="1" width="6" hidden="0" customWidth="1"/>
    <x:col min="2" max="2" width="48" hidden="0" customWidth="1"/>
    <x:col min="3" max="3" width="34" hidden="0" customWidth="1"/>
    <x:col min="4" max="4" width="20" hidden="0" customWidth="1"/>
    <x:col min="5" max="5" width="18" hidden="0" customWidth="1"/>
    <x:col min="6" max="6" width="18" hidden="0" customWidth="1"/>
    <x:col min="7" max="7" width="17" hidden="0" customWidth="1"/>
    <x:col min="8" max="8" width="35" hidden="0" customWidth="1"/>
  </x:cols>
  <x:sheetData>
    <x:row r="1" ht="30" customHeight="1">
      <x:c r="A1" s="95" t="str">
        <x:v>#</x:v>
      </x:c>
      <x:c r="B1" s="95" t="str">
        <x:v>Checklist Item</x:v>
      </x:c>
      <x:c r="C1" s="95" t="str">
        <x:v>Required File / Evidence</x:v>
      </x:c>
      <x:c r="D1" s="95" t="str">
        <x:v>Owner</x:v>
      </x:c>
      <x:c r="E1" s="95" t="str">
        <x:v>Status</x:v>
      </x:c>
      <x:c r="F1" s="95" t="str">
        <x:v>Verified By</x:v>
      </x:c>
      <x:c r="G1" s="95" t="str">
        <x:v>Verification Date</x:v>
      </x:c>
      <x:c r="H1" s="95" t="str">
        <x:v>Notes</x:v>
      </x:c>
    </x:row>
    <x:row r="2">
      <x:c r="A2" s="33" t="n">
        <x:v>1</x:v>
      </x:c>
      <x:c r="B2" s="33" t="str">
        <x:v>All original reviewer comments mapped and addressed</x:v>
      </x:c>
      <x:c r="C2" s="33" t="str">
        <x:v>Reviewer Matrix</x:v>
      </x:c>
      <x:c r="D2" s="33" t="str">
        <x:v>Aditya</x:v>
      </x:c>
      <x:c r="E2" s="33" t="str">
        <x:v>Not Started</x:v>
      </x:c>
      <x:c r="F2" s="33" t="str"/>
      <x:c r="G2" s="97" t="str"/>
      <x:c r="H2" s="33" t="str"/>
    </x:row>
    <x:row r="3">
      <x:c r="A3" s="33" t="n">
        <x:v>2</x:v>
      </x:c>
      <x:c r="B3" s="33" t="str">
        <x:v>All P0 tasks closed</x:v>
      </x:c>
      <x:c r="C3" s="33" t="str">
        <x:v>Dashboard / Master Tracker</x:v>
      </x:c>
      <x:c r="D3" s="33" t="str">
        <x:v>Aditya + Guide</x:v>
      </x:c>
      <x:c r="E3" s="33" t="str">
        <x:v>Not Started</x:v>
      </x:c>
      <x:c r="F3" s="33" t="str"/>
      <x:c r="G3" s="97" t="str"/>
      <x:c r="H3" s="33" t="str"/>
    </x:row>
    <x:row r="4">
      <x:c r="A4" s="33" t="n">
        <x:v>3</x:v>
      </x:c>
      <x:c r="B4" s="33" t="str">
        <x:v>Reference audit complete</x:v>
      </x:c>
      <x:c r="C4" s="33" t="str">
        <x:v>Reference Audit + corrected .bib</x:v>
      </x:c>
      <x:c r="D4" s="33" t="str">
        <x:v>Aditya + Guide</x:v>
      </x:c>
      <x:c r="E4" s="33" t="str">
        <x:v>Not Started</x:v>
      </x:c>
      <x:c r="F4" s="33" t="str"/>
      <x:c r="G4" s="97" t="str"/>
      <x:c r="H4" s="33" t="str"/>
    </x:row>
    <x:row r="5">
      <x:c r="A5" s="33" t="n">
        <x:v>4</x:v>
      </x:c>
      <x:c r="B5" s="33" t="str">
        <x:v>Results provenance complete</x:v>
      </x:c>
      <x:c r="C5" s="33" t="str">
        <x:v>Logs + provenance map</x:v>
      </x:c>
      <x:c r="D5" s="33" t="str">
        <x:v>Aditya</x:v>
      </x:c>
      <x:c r="E5" s="33" t="str">
        <x:v>Not Started</x:v>
      </x:c>
      <x:c r="F5" s="33" t="str"/>
      <x:c r="G5" s="97" t="str"/>
      <x:c r="H5" s="33" t="str"/>
    </x:row>
    <x:row r="6">
      <x:c r="A6" s="33" t="n">
        <x:v>5</x:v>
      </x:c>
      <x:c r="B6" s="33" t="str">
        <x:v>Proof independently approved or convergence claim removed</x:v>
      </x:c>
      <x:c r="C6" s="33" t="str">
        <x:v>Proof sign-off / revised text</x:v>
      </x:c>
      <x:c r="D6" s="33" t="str">
        <x:v>Math reviewer + Guide</x:v>
      </x:c>
      <x:c r="E6" s="33" t="str">
        <x:v>Not Started</x:v>
      </x:c>
      <x:c r="F6" s="33" t="str"/>
      <x:c r="G6" s="97" t="str"/>
      <x:c r="H6" s="33" t="str"/>
    </x:row>
    <x:row r="7">
      <x:c r="A7" s="33" t="n">
        <x:v>6</x:v>
      </x:c>
      <x:c r="B7" s="33" t="str">
        <x:v>Clean manuscript source compiles</x:v>
      </x:c>
      <x:c r="C7" s="33" t="str">
        <x:v>LaTeX/Word source</x:v>
      </x:c>
      <x:c r="D7" s="33" t="str">
        <x:v>Aditya</x:v>
      </x:c>
      <x:c r="E7" s="33" t="str">
        <x:v>Not Started</x:v>
      </x:c>
      <x:c r="F7" s="33" t="str"/>
      <x:c r="G7" s="97" t="str"/>
      <x:c r="H7" s="33" t="str"/>
    </x:row>
    <x:row r="8">
      <x:c r="A8" s="33" t="n">
        <x:v>7</x:v>
      </x:c>
      <x:c r="B8" s="33" t="str">
        <x:v>Clean main manuscript PDF complete</x:v>
      </x:c>
      <x:c r="C8" s="33" t="str">
        <x:v>Main Manuscript PDF</x:v>
      </x:c>
      <x:c r="D8" s="33" t="str">
        <x:v>Aditya</x:v>
      </x:c>
      <x:c r="E8" s="33" t="str">
        <x:v>Not Started</x:v>
      </x:c>
      <x:c r="F8" s="33" t="str"/>
      <x:c r="G8" s="97" t="str"/>
      <x:c r="H8" s="33" t="str"/>
    </x:row>
    <x:row r="9">
      <x:c r="A9" s="33" t="n">
        <x:v>8</x:v>
      </x:c>
      <x:c r="B9" s="33" t="str">
        <x:v>Highlighted PDF includes every change</x:v>
      </x:c>
      <x:c r="C9" s="33" t="str">
        <x:v>Highlighted PDF</x:v>
      </x:c>
      <x:c r="D9" s="33" t="str">
        <x:v>Aditya</x:v>
      </x:c>
      <x:c r="E9" s="33" t="str">
        <x:v>Not Started</x:v>
      </x:c>
      <x:c r="F9" s="33" t="str"/>
      <x:c r="G9" s="97" t="str"/>
      <x:c r="H9" s="33" t="str"/>
    </x:row>
    <x:row r="10">
      <x:c r="A10" s="33" t="n">
        <x:v>9</x:v>
      </x:c>
      <x:c r="B10" s="33" t="str">
        <x:v>Response document has concern/response/action for each comment</x:v>
      </x:c>
      <x:c r="C10" s="33" t="str">
        <x:v>Author Response</x:v>
      </x:c>
      <x:c r="D10" s="33" t="str">
        <x:v>Aditya + Guide</x:v>
      </x:c>
      <x:c r="E10" s="33" t="str">
        <x:v>Not Started</x:v>
      </x:c>
      <x:c r="F10" s="33" t="str"/>
      <x:c r="G10" s="97" t="str"/>
      <x:c r="H10" s="33" t="str"/>
    </x:row>
    <x:row r="11">
      <x:c r="A11" s="33" t="n">
        <x:v>10</x:v>
      </x:c>
      <x:c r="B11" s="33" t="str">
        <x:v>Supplement complete and cross-referenced</x:v>
      </x:c>
      <x:c r="C11" s="33" t="str">
        <x:v>Supplementary PDF/source</x:v>
      </x:c>
      <x:c r="D11" s="33" t="str">
        <x:v>Aditya</x:v>
      </x:c>
      <x:c r="E11" s="33" t="str">
        <x:v>Not Started</x:v>
      </x:c>
      <x:c r="F11" s="33" t="str"/>
      <x:c r="G11" s="97" t="str"/>
      <x:c r="H11" s="33" t="str"/>
    </x:row>
    <x:row r="12">
      <x:c r="A12" s="33" t="n">
        <x:v>11</x:v>
      </x:c>
      <x:c r="B12" s="33" t="str">
        <x:v>Figures/tables legible and template placeholders removed</x:v>
      </x:c>
      <x:c r="C12" s="33" t="str">
        <x:v>PDF QA checklist</x:v>
      </x:c>
      <x:c r="D12" s="33" t="str">
        <x:v>Aditya</x:v>
      </x:c>
      <x:c r="E12" s="33" t="str">
        <x:v>Not Started</x:v>
      </x:c>
      <x:c r="F12" s="33" t="str"/>
      <x:c r="G12" s="97" t="str"/>
      <x:c r="H12" s="33" t="str"/>
    </x:row>
    <x:row r="13">
      <x:c r="A13" s="33" t="n">
        <x:v>12</x:v>
      </x:c>
      <x:c r="B13" s="33" t="str">
        <x:v>Similarity review complete</x:v>
      </x:c>
      <x:c r="C13" s="33" t="str">
        <x:v>Similarity report</x:v>
      </x:c>
      <x:c r="D13" s="33" t="str">
        <x:v>Aditya</x:v>
      </x:c>
      <x:c r="E13" s="33" t="str">
        <x:v>Not Started</x:v>
      </x:c>
      <x:c r="F13" s="33" t="str"/>
      <x:c r="G13" s="97" t="str"/>
      <x:c r="H13" s="33" t="str"/>
    </x:row>
    <x:row r="14">
      <x:c r="A14" s="33" t="n">
        <x:v>13</x:v>
      </x:c>
      <x:c r="B14" s="33" t="str">
        <x:v>Authors approve disclosure, contributions and final files</x:v>
      </x:c>
      <x:c r="C14" s="33" t="str">
        <x:v>Written approval</x:v>
      </x:c>
      <x:c r="D14" s="33" t="str">
        <x:v>Guide + Aditya</x:v>
      </x:c>
      <x:c r="E14" s="33" t="str">
        <x:v>Not Started</x:v>
      </x:c>
      <x:c r="F14" s="33" t="str"/>
      <x:c r="G14" s="97" t="str"/>
      <x:c r="H14" s="33" t="str"/>
    </x:row>
    <x:row r="15">
      <x:c r="A15" s="33" t="n">
        <x:v>14</x:v>
      </x:c>
      <x:c r="B15" s="33" t="str">
        <x:v>Portal metadata matches manuscript</x:v>
      </x:c>
      <x:c r="C15" s="33" t="str">
        <x:v>Metadata checklist</x:v>
      </x:c>
      <x:c r="D15" s="33" t="str">
        <x:v>Aditya</x:v>
      </x:c>
      <x:c r="E15" s="33" t="str">
        <x:v>Not Started</x:v>
      </x:c>
      <x:c r="F15" s="33" t="str"/>
      <x:c r="G15" s="97" t="str"/>
      <x:c r="H15" s="33" t="str"/>
    </x:row>
    <x:row r="16">
      <x:c r="A16" s="33" t="n">
        <x:v>15</x:v>
      </x:c>
      <x:c r="B16" s="33" t="str">
        <x:v>Portal previews checked by two people</x:v>
      </x:c>
      <x:c r="C16" s="33" t="str">
        <x:v>Portal sign-off</x:v>
      </x:c>
      <x:c r="D16" s="33" t="str">
        <x:v>Aditya + Guide</x:v>
      </x:c>
      <x:c r="E16" s="33" t="str">
        <x:v>Not Started</x:v>
      </x:c>
      <x:c r="F16" s="33" t="str"/>
      <x:c r="G16" s="97" t="str"/>
      <x:c r="H16" s="33" t="str"/>
    </x:row>
    <x:row r="17">
      <x:c r="A17" s="33" t="n">
        <x:v>16</x:v>
      </x:c>
      <x:c r="B17" s="33" t="str">
        <x:v>Timestamped submission archive created</x:v>
      </x:c>
      <x:c r="C17" s="33" t="str">
        <x:v>ZIP + checksums + manifest</x:v>
      </x:c>
      <x:c r="D17" s="33" t="str">
        <x:v>Aditya</x:v>
      </x:c>
      <x:c r="E17" s="33" t="str">
        <x:v>Not Started</x:v>
      </x:c>
      <x:c r="F17" s="33" t="str"/>
      <x:c r="G17" s="97" t="str"/>
      <x:c r="H17" s="33" t="str"/>
    </x:row>
  </x:sheetData>
  <x:dataValidations count="1">
    <x:dataValidation type="list" sqref="E2:E17">
      <x:formula1>"Not Started,In Progress,Blocked,Ready for Review,Done"</x:formula1>
    </x:dataValidation>
  </x:dataValidations>
  <x:pageMargins left="0.7" right="0.7" top="0.75" bottom="0.75" header="0.3" footer="0.3"/>
  <x:tableParts count="1">
    <x:tablePart xmlns:r="http://schemas.openxmlformats.org/officeDocument/2006/relationships" r:id="Rb60b329872af402b"/>
  </x:tableParts>
</x:worksheet>
</file>